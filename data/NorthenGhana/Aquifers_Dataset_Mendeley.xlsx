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cksonAbdul-Wahab\Desktop\NeutroProject\Groundwater\Hydrosheaf\data\NorthenGhana\"/>
    </mc:Choice>
  </mc:AlternateContent>
  <xr:revisionPtr revIDLastSave="0" documentId="8_{DECC2971-5F00-43A8-AA4A-4AE6DEA64184}" xr6:coauthVersionLast="47" xr6:coauthVersionMax="47" xr10:uidLastSave="{00000000-0000-0000-0000-000000000000}"/>
  <bookViews>
    <workbookView xWindow="732" yWindow="732" windowWidth="17280" windowHeight="8880" activeTab="3" xr2:uid="{00000000-000D-0000-FFFF-FFFF00000000}"/>
  </bookViews>
  <sheets>
    <sheet name="Dataset_Info" sheetId="1" r:id="rId1"/>
    <sheet name="Dashboard" sheetId="2" r:id="rId2"/>
    <sheet name="Wells_Nodes" sheetId="3" r:id="rId3"/>
    <sheet name="Hydrochemistry_Seasonal" sheetId="4" r:id="rId4"/>
    <sheet name="Climate_Aridification" sheetId="5" r:id="rId5"/>
    <sheet name="Graph_Edges" sheetId="6" r:id="rId6"/>
    <sheet name="Model_Feature_Matrix" sheetId="7" r:id="rId7"/>
    <sheet name="Data_Dictionary" sheetId="8" r:id="rId8"/>
    <sheet name="Quality_Control" sheetId="9" r:id="rId9"/>
    <sheet name="Coordinate_Masking_Note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21" i="4" l="1"/>
  <c r="AC321" i="4"/>
  <c r="AB321" i="4"/>
  <c r="AE320" i="4"/>
  <c r="AC320" i="4"/>
  <c r="AB320" i="4"/>
  <c r="AE319" i="4"/>
  <c r="AC319" i="4"/>
  <c r="AB319" i="4"/>
  <c r="AE318" i="4"/>
  <c r="AC318" i="4"/>
  <c r="AB318" i="4"/>
  <c r="AE317" i="4"/>
  <c r="AC317" i="4"/>
  <c r="AB317" i="4"/>
  <c r="AE316" i="4"/>
  <c r="AC316" i="4"/>
  <c r="AB316" i="4"/>
  <c r="AE315" i="4"/>
  <c r="AC315" i="4"/>
  <c r="AB315" i="4"/>
  <c r="AE314" i="4"/>
  <c r="AC314" i="4"/>
  <c r="AB314" i="4"/>
  <c r="AE313" i="4"/>
  <c r="AC313" i="4"/>
  <c r="AB313" i="4"/>
  <c r="AE312" i="4"/>
  <c r="AC312" i="4"/>
  <c r="AB312" i="4"/>
  <c r="AE311" i="4"/>
  <c r="AC311" i="4"/>
  <c r="AB311" i="4"/>
  <c r="AE310" i="4"/>
  <c r="AC310" i="4"/>
  <c r="AB310" i="4"/>
  <c r="AE309" i="4"/>
  <c r="AC309" i="4"/>
  <c r="AB309" i="4"/>
  <c r="AE308" i="4"/>
  <c r="AC308" i="4"/>
  <c r="AB308" i="4"/>
  <c r="AE307" i="4"/>
  <c r="AC307" i="4"/>
  <c r="AB307" i="4"/>
  <c r="AE306" i="4"/>
  <c r="AC306" i="4"/>
  <c r="AB306" i="4"/>
  <c r="AE305" i="4"/>
  <c r="AC305" i="4"/>
  <c r="AB305" i="4"/>
  <c r="AE304" i="4"/>
  <c r="AC304" i="4"/>
  <c r="AB304" i="4"/>
  <c r="AE303" i="4"/>
  <c r="AC303" i="4"/>
  <c r="AB303" i="4"/>
  <c r="AE302" i="4"/>
  <c r="AC302" i="4"/>
  <c r="AB302" i="4"/>
  <c r="AE301" i="4"/>
  <c r="AC301" i="4"/>
  <c r="AB301" i="4"/>
  <c r="AE300" i="4"/>
  <c r="AC300" i="4"/>
  <c r="AB300" i="4"/>
  <c r="AE299" i="4"/>
  <c r="AC299" i="4"/>
  <c r="AB299" i="4"/>
  <c r="AE298" i="4"/>
  <c r="AC298" i="4"/>
  <c r="AB298" i="4"/>
  <c r="AE297" i="4"/>
  <c r="AC297" i="4"/>
  <c r="AB297" i="4"/>
  <c r="AE296" i="4"/>
  <c r="AC296" i="4"/>
  <c r="AB296" i="4"/>
  <c r="AE295" i="4"/>
  <c r="AC295" i="4"/>
  <c r="AB295" i="4"/>
  <c r="AE294" i="4"/>
  <c r="AC294" i="4"/>
  <c r="AB294" i="4"/>
  <c r="AE293" i="4"/>
  <c r="AC293" i="4"/>
  <c r="AB293" i="4"/>
  <c r="AE292" i="4"/>
  <c r="AC292" i="4"/>
  <c r="AB292" i="4"/>
  <c r="AE291" i="4"/>
  <c r="AC291" i="4"/>
  <c r="AB291" i="4"/>
  <c r="AE290" i="4"/>
  <c r="AC290" i="4"/>
  <c r="AB290" i="4"/>
  <c r="AE289" i="4"/>
  <c r="AC289" i="4"/>
  <c r="AB289" i="4"/>
  <c r="AE288" i="4"/>
  <c r="AC288" i="4"/>
  <c r="AB288" i="4"/>
  <c r="AE287" i="4"/>
  <c r="AC287" i="4"/>
  <c r="AB287" i="4"/>
  <c r="AE286" i="4"/>
  <c r="AC286" i="4"/>
  <c r="AB286" i="4"/>
  <c r="AE285" i="4"/>
  <c r="AC285" i="4"/>
  <c r="AB285" i="4"/>
  <c r="AE284" i="4"/>
  <c r="AC284" i="4"/>
  <c r="AB284" i="4"/>
  <c r="AE283" i="4"/>
  <c r="AC283" i="4"/>
  <c r="AB283" i="4"/>
  <c r="AE282" i="4"/>
  <c r="AC282" i="4"/>
  <c r="AB282" i="4"/>
  <c r="AE281" i="4"/>
  <c r="AC281" i="4"/>
  <c r="AB281" i="4"/>
  <c r="AE280" i="4"/>
  <c r="AC280" i="4"/>
  <c r="AB280" i="4"/>
  <c r="AE279" i="4"/>
  <c r="AC279" i="4"/>
  <c r="AB279" i="4"/>
  <c r="AE278" i="4"/>
  <c r="AC278" i="4"/>
  <c r="AB278" i="4"/>
  <c r="AE277" i="4"/>
  <c r="AC277" i="4"/>
  <c r="AB277" i="4"/>
  <c r="AE276" i="4"/>
  <c r="AC276" i="4"/>
  <c r="AB276" i="4"/>
  <c r="AE275" i="4"/>
  <c r="AC275" i="4"/>
  <c r="AB275" i="4"/>
  <c r="AE274" i="4"/>
  <c r="AC274" i="4"/>
  <c r="AB274" i="4"/>
  <c r="AE273" i="4"/>
  <c r="AC273" i="4"/>
  <c r="AB273" i="4"/>
  <c r="AE272" i="4"/>
  <c r="AC272" i="4"/>
  <c r="AB272" i="4"/>
  <c r="AE271" i="4"/>
  <c r="AC271" i="4"/>
  <c r="AB271" i="4"/>
  <c r="AE270" i="4"/>
  <c r="AC270" i="4"/>
  <c r="AB270" i="4"/>
  <c r="AE269" i="4"/>
  <c r="AC269" i="4"/>
  <c r="AB269" i="4"/>
  <c r="AE268" i="4"/>
  <c r="AC268" i="4"/>
  <c r="AB268" i="4"/>
  <c r="AE267" i="4"/>
  <c r="AC267" i="4"/>
  <c r="AB267" i="4"/>
  <c r="AE266" i="4"/>
  <c r="AC266" i="4"/>
  <c r="AB266" i="4"/>
  <c r="AE265" i="4"/>
  <c r="AC265" i="4"/>
  <c r="AB265" i="4"/>
  <c r="AE264" i="4"/>
  <c r="AC264" i="4"/>
  <c r="AB264" i="4"/>
  <c r="AE263" i="4"/>
  <c r="AC263" i="4"/>
  <c r="AB263" i="4"/>
  <c r="AE262" i="4"/>
  <c r="AC262" i="4"/>
  <c r="AB262" i="4"/>
  <c r="AE261" i="4"/>
  <c r="AC261" i="4"/>
  <c r="AB261" i="4"/>
  <c r="AE260" i="4"/>
  <c r="AC260" i="4"/>
  <c r="AB260" i="4"/>
  <c r="AE259" i="4"/>
  <c r="AC259" i="4"/>
  <c r="AB259" i="4"/>
  <c r="AE258" i="4"/>
  <c r="AC258" i="4"/>
  <c r="AB258" i="4"/>
  <c r="AE257" i="4"/>
  <c r="AC257" i="4"/>
  <c r="AB257" i="4"/>
  <c r="AE256" i="4"/>
  <c r="AC256" i="4"/>
  <c r="AB256" i="4"/>
  <c r="AE255" i="4"/>
  <c r="AC255" i="4"/>
  <c r="AB255" i="4"/>
  <c r="AE254" i="4"/>
  <c r="AC254" i="4"/>
  <c r="AB254" i="4"/>
  <c r="AE253" i="4"/>
  <c r="AC253" i="4"/>
  <c r="AB253" i="4"/>
  <c r="AE252" i="4"/>
  <c r="AC252" i="4"/>
  <c r="AB252" i="4"/>
  <c r="AE251" i="4"/>
  <c r="AC251" i="4"/>
  <c r="AB251" i="4"/>
  <c r="AE250" i="4"/>
  <c r="AC250" i="4"/>
  <c r="AB250" i="4"/>
  <c r="AE249" i="4"/>
  <c r="AC249" i="4"/>
  <c r="AB249" i="4"/>
  <c r="AE248" i="4"/>
  <c r="AC248" i="4"/>
  <c r="AB248" i="4"/>
  <c r="AE247" i="4"/>
  <c r="AC247" i="4"/>
  <c r="AB247" i="4"/>
  <c r="AE246" i="4"/>
  <c r="AC246" i="4"/>
  <c r="AB246" i="4"/>
  <c r="AE245" i="4"/>
  <c r="AC245" i="4"/>
  <c r="AB245" i="4"/>
  <c r="AE244" i="4"/>
  <c r="AC244" i="4"/>
  <c r="AB244" i="4"/>
  <c r="AE243" i="4"/>
  <c r="AC243" i="4"/>
  <c r="AB243" i="4"/>
  <c r="AE242" i="4"/>
  <c r="AC242" i="4"/>
  <c r="AB242" i="4"/>
  <c r="AE241" i="4"/>
  <c r="AC241" i="4"/>
  <c r="AB241" i="4"/>
  <c r="AE240" i="4"/>
  <c r="AC240" i="4"/>
  <c r="AB240" i="4"/>
  <c r="AE239" i="4"/>
  <c r="AC239" i="4"/>
  <c r="AB239" i="4"/>
  <c r="AE238" i="4"/>
  <c r="AC238" i="4"/>
  <c r="AB238" i="4"/>
  <c r="AE237" i="4"/>
  <c r="AC237" i="4"/>
  <c r="AB237" i="4"/>
  <c r="AE236" i="4"/>
  <c r="AC236" i="4"/>
  <c r="AB236" i="4"/>
  <c r="AE235" i="4"/>
  <c r="AC235" i="4"/>
  <c r="AB235" i="4"/>
  <c r="AE234" i="4"/>
  <c r="AC234" i="4"/>
  <c r="AB234" i="4"/>
  <c r="AE233" i="4"/>
  <c r="AC233" i="4"/>
  <c r="AB233" i="4"/>
  <c r="AE232" i="4"/>
  <c r="AC232" i="4"/>
  <c r="AB232" i="4"/>
  <c r="AE231" i="4"/>
  <c r="AC231" i="4"/>
  <c r="AB231" i="4"/>
  <c r="AE230" i="4"/>
  <c r="AC230" i="4"/>
  <c r="AB230" i="4"/>
  <c r="AE229" i="4"/>
  <c r="AC229" i="4"/>
  <c r="AB229" i="4"/>
  <c r="AE228" i="4"/>
  <c r="AC228" i="4"/>
  <c r="AB228" i="4"/>
  <c r="AE227" i="4"/>
  <c r="AC227" i="4"/>
  <c r="AB227" i="4"/>
  <c r="AE226" i="4"/>
  <c r="AC226" i="4"/>
  <c r="AB226" i="4"/>
  <c r="AE225" i="4"/>
  <c r="AC225" i="4"/>
  <c r="AB225" i="4"/>
  <c r="AE224" i="4"/>
  <c r="AC224" i="4"/>
  <c r="AB224" i="4"/>
  <c r="AE223" i="4"/>
  <c r="AC223" i="4"/>
  <c r="AB223" i="4"/>
  <c r="AE222" i="4"/>
  <c r="AC222" i="4"/>
  <c r="AB222" i="4"/>
  <c r="AE221" i="4"/>
  <c r="AC221" i="4"/>
  <c r="AB221" i="4"/>
  <c r="AE220" i="4"/>
  <c r="AC220" i="4"/>
  <c r="AB220" i="4"/>
  <c r="AE219" i="4"/>
  <c r="AC219" i="4"/>
  <c r="AB219" i="4"/>
  <c r="AE218" i="4"/>
  <c r="AC218" i="4"/>
  <c r="AB218" i="4"/>
  <c r="AE217" i="4"/>
  <c r="AC217" i="4"/>
  <c r="AB217" i="4"/>
  <c r="AE216" i="4"/>
  <c r="AC216" i="4"/>
  <c r="AB216" i="4"/>
  <c r="AE215" i="4"/>
  <c r="AC215" i="4"/>
  <c r="AB215" i="4"/>
  <c r="AE214" i="4"/>
  <c r="AC214" i="4"/>
  <c r="AB214" i="4"/>
  <c r="AE213" i="4"/>
  <c r="AC213" i="4"/>
  <c r="AB213" i="4"/>
  <c r="AE212" i="4"/>
  <c r="AC212" i="4"/>
  <c r="AB212" i="4"/>
  <c r="AE211" i="4"/>
  <c r="AC211" i="4"/>
  <c r="AB211" i="4"/>
  <c r="AE210" i="4"/>
  <c r="AC210" i="4"/>
  <c r="AB210" i="4"/>
  <c r="AE209" i="4"/>
  <c r="AC209" i="4"/>
  <c r="AB209" i="4"/>
  <c r="AE208" i="4"/>
  <c r="AC208" i="4"/>
  <c r="AB208" i="4"/>
  <c r="AE207" i="4"/>
  <c r="AC207" i="4"/>
  <c r="AB207" i="4"/>
  <c r="AE206" i="4"/>
  <c r="AC206" i="4"/>
  <c r="AB206" i="4"/>
  <c r="AE205" i="4"/>
  <c r="AC205" i="4"/>
  <c r="AB205" i="4"/>
  <c r="AE204" i="4"/>
  <c r="AC204" i="4"/>
  <c r="AB204" i="4"/>
  <c r="AE203" i="4"/>
  <c r="AC203" i="4"/>
  <c r="AB203" i="4"/>
  <c r="AE202" i="4"/>
  <c r="AC202" i="4"/>
  <c r="AB202" i="4"/>
  <c r="AE201" i="4"/>
  <c r="AC201" i="4"/>
  <c r="AB201" i="4"/>
  <c r="AE200" i="4"/>
  <c r="AC200" i="4"/>
  <c r="AB200" i="4"/>
  <c r="AE199" i="4"/>
  <c r="AC199" i="4"/>
  <c r="AB199" i="4"/>
  <c r="AE198" i="4"/>
  <c r="AC198" i="4"/>
  <c r="AB198" i="4"/>
  <c r="AE197" i="4"/>
  <c r="AC197" i="4"/>
  <c r="AB197" i="4"/>
  <c r="AE196" i="4"/>
  <c r="AC196" i="4"/>
  <c r="AB196" i="4"/>
  <c r="AE195" i="4"/>
  <c r="AC195" i="4"/>
  <c r="AB195" i="4"/>
  <c r="AE194" i="4"/>
  <c r="AC194" i="4"/>
  <c r="AB194" i="4"/>
  <c r="AE193" i="4"/>
  <c r="AC193" i="4"/>
  <c r="AB193" i="4"/>
  <c r="AE192" i="4"/>
  <c r="AC192" i="4"/>
  <c r="AB192" i="4"/>
  <c r="AE191" i="4"/>
  <c r="AC191" i="4"/>
  <c r="AB191" i="4"/>
  <c r="AE190" i="4"/>
  <c r="AC190" i="4"/>
  <c r="AB190" i="4"/>
  <c r="AE189" i="4"/>
  <c r="AC189" i="4"/>
  <c r="AB189" i="4"/>
  <c r="AE188" i="4"/>
  <c r="AC188" i="4"/>
  <c r="AB188" i="4"/>
  <c r="AE187" i="4"/>
  <c r="AC187" i="4"/>
  <c r="AB187" i="4"/>
  <c r="AE186" i="4"/>
  <c r="AC186" i="4"/>
  <c r="AB186" i="4"/>
  <c r="AE185" i="4"/>
  <c r="AC185" i="4"/>
  <c r="AB185" i="4"/>
  <c r="AE184" i="4"/>
  <c r="AC184" i="4"/>
  <c r="AB184" i="4"/>
  <c r="AE183" i="4"/>
  <c r="AC183" i="4"/>
  <c r="AB183" i="4"/>
  <c r="AE182" i="4"/>
  <c r="AC182" i="4"/>
  <c r="AB182" i="4"/>
  <c r="AE181" i="4"/>
  <c r="AC181" i="4"/>
  <c r="AB181" i="4"/>
  <c r="AE180" i="4"/>
  <c r="AC180" i="4"/>
  <c r="AB180" i="4"/>
  <c r="AE179" i="4"/>
  <c r="AC179" i="4"/>
  <c r="AB179" i="4"/>
  <c r="AE178" i="4"/>
  <c r="AC178" i="4"/>
  <c r="AB178" i="4"/>
  <c r="AE177" i="4"/>
  <c r="AC177" i="4"/>
  <c r="AB177" i="4"/>
  <c r="AE176" i="4"/>
  <c r="AC176" i="4"/>
  <c r="AB176" i="4"/>
  <c r="AE175" i="4"/>
  <c r="AC175" i="4"/>
  <c r="AB175" i="4"/>
  <c r="AE174" i="4"/>
  <c r="AC174" i="4"/>
  <c r="AB174" i="4"/>
  <c r="AE173" i="4"/>
  <c r="AC173" i="4"/>
  <c r="AB173" i="4"/>
  <c r="AE172" i="4"/>
  <c r="AC172" i="4"/>
  <c r="AB172" i="4"/>
  <c r="AE171" i="4"/>
  <c r="AC171" i="4"/>
  <c r="AB171" i="4"/>
  <c r="AE170" i="4"/>
  <c r="AC170" i="4"/>
  <c r="AB170" i="4"/>
  <c r="AE169" i="4"/>
  <c r="AC169" i="4"/>
  <c r="AB169" i="4"/>
  <c r="AE168" i="4"/>
  <c r="AC168" i="4"/>
  <c r="AB168" i="4"/>
  <c r="AE167" i="4"/>
  <c r="AC167" i="4"/>
  <c r="AB167" i="4"/>
  <c r="AE166" i="4"/>
  <c r="AC166" i="4"/>
  <c r="AB166" i="4"/>
  <c r="AE165" i="4"/>
  <c r="AC165" i="4"/>
  <c r="AB165" i="4"/>
  <c r="AE164" i="4"/>
  <c r="AC164" i="4"/>
  <c r="AB164" i="4"/>
  <c r="AE163" i="4"/>
  <c r="AC163" i="4"/>
  <c r="AB163" i="4"/>
  <c r="AE162" i="4"/>
  <c r="AC162" i="4"/>
  <c r="AB162" i="4"/>
  <c r="AE161" i="4"/>
  <c r="AC161" i="4"/>
  <c r="AB161" i="4"/>
  <c r="AE160" i="4"/>
  <c r="AC160" i="4"/>
  <c r="AB160" i="4"/>
  <c r="AE159" i="4"/>
  <c r="AC159" i="4"/>
  <c r="AB159" i="4"/>
  <c r="AE158" i="4"/>
  <c r="AC158" i="4"/>
  <c r="AB158" i="4"/>
  <c r="AE157" i="4"/>
  <c r="AC157" i="4"/>
  <c r="AB157" i="4"/>
  <c r="AE156" i="4"/>
  <c r="AC156" i="4"/>
  <c r="AB156" i="4"/>
  <c r="AE155" i="4"/>
  <c r="AC155" i="4"/>
  <c r="AB155" i="4"/>
  <c r="AE154" i="4"/>
  <c r="AC154" i="4"/>
  <c r="AB154" i="4"/>
  <c r="AE153" i="4"/>
  <c r="AC153" i="4"/>
  <c r="AB153" i="4"/>
  <c r="AE152" i="4"/>
  <c r="AC152" i="4"/>
  <c r="AB152" i="4"/>
  <c r="AE151" i="4"/>
  <c r="AC151" i="4"/>
  <c r="AB151" i="4"/>
  <c r="AE150" i="4"/>
  <c r="AC150" i="4"/>
  <c r="AB150" i="4"/>
  <c r="AE149" i="4"/>
  <c r="AC149" i="4"/>
  <c r="AB149" i="4"/>
  <c r="AE148" i="4"/>
  <c r="AC148" i="4"/>
  <c r="AB148" i="4"/>
  <c r="AE147" i="4"/>
  <c r="AC147" i="4"/>
  <c r="AB147" i="4"/>
  <c r="AE146" i="4"/>
  <c r="AC146" i="4"/>
  <c r="AB146" i="4"/>
  <c r="AE145" i="4"/>
  <c r="AC145" i="4"/>
  <c r="AB145" i="4"/>
  <c r="AE144" i="4"/>
  <c r="AC144" i="4"/>
  <c r="AB144" i="4"/>
  <c r="AE143" i="4"/>
  <c r="AC143" i="4"/>
  <c r="AB143" i="4"/>
  <c r="AE142" i="4"/>
  <c r="AC142" i="4"/>
  <c r="AB142" i="4"/>
  <c r="AE141" i="4"/>
  <c r="AC141" i="4"/>
  <c r="AB141" i="4"/>
  <c r="AE140" i="4"/>
  <c r="AC140" i="4"/>
  <c r="AB140" i="4"/>
  <c r="AE139" i="4"/>
  <c r="AC139" i="4"/>
  <c r="AB139" i="4"/>
  <c r="AE138" i="4"/>
  <c r="AC138" i="4"/>
  <c r="AB138" i="4"/>
  <c r="AE137" i="4"/>
  <c r="AC137" i="4"/>
  <c r="AB137" i="4"/>
  <c r="AE136" i="4"/>
  <c r="AC136" i="4"/>
  <c r="AB136" i="4"/>
  <c r="AE135" i="4"/>
  <c r="AC135" i="4"/>
  <c r="AB135" i="4"/>
  <c r="AE134" i="4"/>
  <c r="AC134" i="4"/>
  <c r="AB134" i="4"/>
  <c r="AE133" i="4"/>
  <c r="AC133" i="4"/>
  <c r="AB133" i="4"/>
  <c r="AE132" i="4"/>
  <c r="AC132" i="4"/>
  <c r="AB132" i="4"/>
  <c r="AE131" i="4"/>
  <c r="AC131" i="4"/>
  <c r="AB131" i="4"/>
  <c r="AE130" i="4"/>
  <c r="AC130" i="4"/>
  <c r="AB130" i="4"/>
  <c r="AE129" i="4"/>
  <c r="AC129" i="4"/>
  <c r="AB129" i="4"/>
  <c r="AE128" i="4"/>
  <c r="AC128" i="4"/>
  <c r="AB128" i="4"/>
  <c r="AE127" i="4"/>
  <c r="AC127" i="4"/>
  <c r="AB127" i="4"/>
  <c r="AE126" i="4"/>
  <c r="AC126" i="4"/>
  <c r="AB126" i="4"/>
  <c r="AE125" i="4"/>
  <c r="AC125" i="4"/>
  <c r="AB125" i="4"/>
  <c r="AE124" i="4"/>
  <c r="AC124" i="4"/>
  <c r="AB124" i="4"/>
  <c r="AE123" i="4"/>
  <c r="AC123" i="4"/>
  <c r="AB123" i="4"/>
  <c r="AE122" i="4"/>
  <c r="AC122" i="4"/>
  <c r="AB122" i="4"/>
  <c r="AE121" i="4"/>
  <c r="AC121" i="4"/>
  <c r="AB121" i="4"/>
  <c r="AE120" i="4"/>
  <c r="AC120" i="4"/>
  <c r="AB120" i="4"/>
  <c r="AE119" i="4"/>
  <c r="AC119" i="4"/>
  <c r="AB119" i="4"/>
  <c r="AE118" i="4"/>
  <c r="AC118" i="4"/>
  <c r="AB118" i="4"/>
  <c r="AE117" i="4"/>
  <c r="AC117" i="4"/>
  <c r="AB117" i="4"/>
  <c r="AE116" i="4"/>
  <c r="AC116" i="4"/>
  <c r="AB116" i="4"/>
  <c r="AE115" i="4"/>
  <c r="AC115" i="4"/>
  <c r="AB115" i="4"/>
  <c r="AE114" i="4"/>
  <c r="AC114" i="4"/>
  <c r="AB114" i="4"/>
  <c r="AE113" i="4"/>
  <c r="AC113" i="4"/>
  <c r="AB113" i="4"/>
  <c r="AE112" i="4"/>
  <c r="AC112" i="4"/>
  <c r="AB112" i="4"/>
  <c r="AE111" i="4"/>
  <c r="AC111" i="4"/>
  <c r="AB111" i="4"/>
  <c r="AE110" i="4"/>
  <c r="AC110" i="4"/>
  <c r="AB110" i="4"/>
  <c r="AE109" i="4"/>
  <c r="AC109" i="4"/>
  <c r="AB109" i="4"/>
  <c r="AE108" i="4"/>
  <c r="AC108" i="4"/>
  <c r="AB108" i="4"/>
  <c r="AE107" i="4"/>
  <c r="AC107" i="4"/>
  <c r="AB107" i="4"/>
  <c r="AE106" i="4"/>
  <c r="AC106" i="4"/>
  <c r="AB106" i="4"/>
  <c r="AE105" i="4"/>
  <c r="AC105" i="4"/>
  <c r="AB105" i="4"/>
  <c r="AE104" i="4"/>
  <c r="AC104" i="4"/>
  <c r="AB104" i="4"/>
  <c r="AE103" i="4"/>
  <c r="AC103" i="4"/>
  <c r="AB103" i="4"/>
  <c r="AE102" i="4"/>
  <c r="AC102" i="4"/>
  <c r="AB102" i="4"/>
  <c r="AE101" i="4"/>
  <c r="AC101" i="4"/>
  <c r="AB101" i="4"/>
  <c r="AE100" i="4"/>
  <c r="AC100" i="4"/>
  <c r="AB100" i="4"/>
  <c r="AE99" i="4"/>
  <c r="AC99" i="4"/>
  <c r="AB99" i="4"/>
  <c r="AE98" i="4"/>
  <c r="AC98" i="4"/>
  <c r="AB98" i="4"/>
  <c r="AE97" i="4"/>
  <c r="AC97" i="4"/>
  <c r="AB97" i="4"/>
  <c r="AE96" i="4"/>
  <c r="AC96" i="4"/>
  <c r="AB96" i="4"/>
  <c r="AE95" i="4"/>
  <c r="AC95" i="4"/>
  <c r="AB95" i="4"/>
  <c r="AE94" i="4"/>
  <c r="AC94" i="4"/>
  <c r="AB94" i="4"/>
  <c r="AE93" i="4"/>
  <c r="AC93" i="4"/>
  <c r="AB93" i="4"/>
  <c r="AE92" i="4"/>
  <c r="AC92" i="4"/>
  <c r="AB92" i="4"/>
  <c r="AE91" i="4"/>
  <c r="AC91" i="4"/>
  <c r="AB91" i="4"/>
  <c r="AE90" i="4"/>
  <c r="AC90" i="4"/>
  <c r="AB90" i="4"/>
  <c r="AE89" i="4"/>
  <c r="AC89" i="4"/>
  <c r="AB89" i="4"/>
  <c r="AE88" i="4"/>
  <c r="AC88" i="4"/>
  <c r="AB88" i="4"/>
  <c r="AE87" i="4"/>
  <c r="AC87" i="4"/>
  <c r="AB87" i="4"/>
  <c r="AE86" i="4"/>
  <c r="AC86" i="4"/>
  <c r="AB86" i="4"/>
  <c r="AE85" i="4"/>
  <c r="AC85" i="4"/>
  <c r="AB85" i="4"/>
  <c r="AE84" i="4"/>
  <c r="AC84" i="4"/>
  <c r="AB84" i="4"/>
  <c r="AE83" i="4"/>
  <c r="AC83" i="4"/>
  <c r="AB83" i="4"/>
  <c r="AE82" i="4"/>
  <c r="AC82" i="4"/>
  <c r="AB82" i="4"/>
  <c r="AE81" i="4"/>
  <c r="AC81" i="4"/>
  <c r="AB81" i="4"/>
  <c r="AE80" i="4"/>
  <c r="AC80" i="4"/>
  <c r="AB80" i="4"/>
  <c r="AE79" i="4"/>
  <c r="AC79" i="4"/>
  <c r="AB79" i="4"/>
  <c r="AE78" i="4"/>
  <c r="AC78" i="4"/>
  <c r="AB78" i="4"/>
  <c r="AE77" i="4"/>
  <c r="AC77" i="4"/>
  <c r="AB77" i="4"/>
  <c r="AE76" i="4"/>
  <c r="AC76" i="4"/>
  <c r="AB76" i="4"/>
  <c r="AE75" i="4"/>
  <c r="AC75" i="4"/>
  <c r="AB75" i="4"/>
  <c r="AE74" i="4"/>
  <c r="AC74" i="4"/>
  <c r="AB74" i="4"/>
  <c r="AE73" i="4"/>
  <c r="AC73" i="4"/>
  <c r="AB73" i="4"/>
  <c r="AE72" i="4"/>
  <c r="AC72" i="4"/>
  <c r="AB72" i="4"/>
  <c r="AE71" i="4"/>
  <c r="AC71" i="4"/>
  <c r="AB71" i="4"/>
  <c r="AE70" i="4"/>
  <c r="AC70" i="4"/>
  <c r="AB70" i="4"/>
  <c r="AE69" i="4"/>
  <c r="AC69" i="4"/>
  <c r="AB69" i="4"/>
  <c r="AE68" i="4"/>
  <c r="AC68" i="4"/>
  <c r="AB68" i="4"/>
  <c r="AE67" i="4"/>
  <c r="AC67" i="4"/>
  <c r="AB67" i="4"/>
  <c r="AE66" i="4"/>
  <c r="AC66" i="4"/>
  <c r="AB66" i="4"/>
  <c r="AE65" i="4"/>
  <c r="AC65" i="4"/>
  <c r="AB65" i="4"/>
  <c r="AE64" i="4"/>
  <c r="AC64" i="4"/>
  <c r="AB64" i="4"/>
  <c r="AE63" i="4"/>
  <c r="AC63" i="4"/>
  <c r="AB63" i="4"/>
  <c r="AE62" i="4"/>
  <c r="AC62" i="4"/>
  <c r="AB62" i="4"/>
  <c r="AE61" i="4"/>
  <c r="AC61" i="4"/>
  <c r="AB61" i="4"/>
  <c r="AE60" i="4"/>
  <c r="AC60" i="4"/>
  <c r="AB60" i="4"/>
  <c r="AE59" i="4"/>
  <c r="AC59" i="4"/>
  <c r="AB59" i="4"/>
  <c r="AE58" i="4"/>
  <c r="AC58" i="4"/>
  <c r="AB58" i="4"/>
  <c r="AE57" i="4"/>
  <c r="AC57" i="4"/>
  <c r="AB57" i="4"/>
  <c r="AE56" i="4"/>
  <c r="AC56" i="4"/>
  <c r="AB56" i="4"/>
  <c r="AE55" i="4"/>
  <c r="AC55" i="4"/>
  <c r="AB55" i="4"/>
  <c r="AE54" i="4"/>
  <c r="AC54" i="4"/>
  <c r="AB54" i="4"/>
  <c r="AE53" i="4"/>
  <c r="AC53" i="4"/>
  <c r="AB53" i="4"/>
  <c r="AE52" i="4"/>
  <c r="AC52" i="4"/>
  <c r="AB52" i="4"/>
  <c r="AE51" i="4"/>
  <c r="AC51" i="4"/>
  <c r="AB51" i="4"/>
  <c r="AE50" i="4"/>
  <c r="AC50" i="4"/>
  <c r="AB50" i="4"/>
  <c r="AE49" i="4"/>
  <c r="AC49" i="4"/>
  <c r="AB49" i="4"/>
  <c r="AE48" i="4"/>
  <c r="AC48" i="4"/>
  <c r="AB48" i="4"/>
  <c r="AE47" i="4"/>
  <c r="AC47" i="4"/>
  <c r="AB47" i="4"/>
  <c r="AE46" i="4"/>
  <c r="AC46" i="4"/>
  <c r="AB46" i="4"/>
  <c r="AE45" i="4"/>
  <c r="AC45" i="4"/>
  <c r="AB45" i="4"/>
  <c r="AE44" i="4"/>
  <c r="AC44" i="4"/>
  <c r="AB44" i="4"/>
  <c r="AE43" i="4"/>
  <c r="AC43" i="4"/>
  <c r="AB43" i="4"/>
  <c r="AE42" i="4"/>
  <c r="AC42" i="4"/>
  <c r="AB42" i="4"/>
  <c r="AE41" i="4"/>
  <c r="AC41" i="4"/>
  <c r="AB41" i="4"/>
  <c r="AE40" i="4"/>
  <c r="AC40" i="4"/>
  <c r="AB40" i="4"/>
  <c r="AE39" i="4"/>
  <c r="AC39" i="4"/>
  <c r="AB39" i="4"/>
  <c r="AE38" i="4"/>
  <c r="AC38" i="4"/>
  <c r="AB38" i="4"/>
  <c r="AE37" i="4"/>
  <c r="AC37" i="4"/>
  <c r="AB37" i="4"/>
  <c r="AE36" i="4"/>
  <c r="AC36" i="4"/>
  <c r="AB36" i="4"/>
  <c r="AE35" i="4"/>
  <c r="AC35" i="4"/>
  <c r="AB35" i="4"/>
  <c r="AE34" i="4"/>
  <c r="AC34" i="4"/>
  <c r="AB34" i="4"/>
  <c r="AE33" i="4"/>
  <c r="AC33" i="4"/>
  <c r="AB33" i="4"/>
  <c r="AE32" i="4"/>
  <c r="AC32" i="4"/>
  <c r="AB32" i="4"/>
  <c r="AE31" i="4"/>
  <c r="AC31" i="4"/>
  <c r="AB31" i="4"/>
  <c r="AE30" i="4"/>
  <c r="AC30" i="4"/>
  <c r="AB30" i="4"/>
  <c r="AE29" i="4"/>
  <c r="AC29" i="4"/>
  <c r="AB29" i="4"/>
  <c r="AE28" i="4"/>
  <c r="AC28" i="4"/>
  <c r="AB28" i="4"/>
  <c r="AE27" i="4"/>
  <c r="AC27" i="4"/>
  <c r="AB27" i="4"/>
  <c r="AE26" i="4"/>
  <c r="AC26" i="4"/>
  <c r="AB26" i="4"/>
  <c r="AE25" i="4"/>
  <c r="AC25" i="4"/>
  <c r="AB25" i="4"/>
  <c r="AE24" i="4"/>
  <c r="AC24" i="4"/>
  <c r="AB24" i="4"/>
  <c r="AE23" i="4"/>
  <c r="AC23" i="4"/>
  <c r="AB23" i="4"/>
  <c r="AE22" i="4"/>
  <c r="AC22" i="4"/>
  <c r="AB22" i="4"/>
  <c r="AE21" i="4"/>
  <c r="AC21" i="4"/>
  <c r="AB21" i="4"/>
  <c r="AE20" i="4"/>
  <c r="AC20" i="4"/>
  <c r="AB20" i="4"/>
  <c r="AE19" i="4"/>
  <c r="AC19" i="4"/>
  <c r="AB19" i="4"/>
  <c r="AE18" i="4"/>
  <c r="AC18" i="4"/>
  <c r="AB18" i="4"/>
  <c r="AE17" i="4"/>
  <c r="AC17" i="4"/>
  <c r="AB17" i="4"/>
  <c r="AE16" i="4"/>
  <c r="AC16" i="4"/>
  <c r="AB16" i="4"/>
  <c r="AE15" i="4"/>
  <c r="AC15" i="4"/>
  <c r="AB15" i="4"/>
  <c r="AE14" i="4"/>
  <c r="AC14" i="4"/>
  <c r="AB14" i="4"/>
  <c r="AE13" i="4"/>
  <c r="AC13" i="4"/>
  <c r="AB13" i="4"/>
  <c r="AE12" i="4"/>
  <c r="AC12" i="4"/>
  <c r="AB12" i="4"/>
  <c r="AE11" i="4"/>
  <c r="AC11" i="4"/>
  <c r="AB11" i="4"/>
  <c r="AE10" i="4"/>
  <c r="AC10" i="4"/>
  <c r="AB10" i="4"/>
  <c r="AE9" i="4"/>
  <c r="AC9" i="4"/>
  <c r="AB9" i="4"/>
  <c r="AE8" i="4"/>
  <c r="AC8" i="4"/>
  <c r="AB8" i="4"/>
  <c r="AE7" i="4"/>
  <c r="AC7" i="4"/>
  <c r="AB7" i="4"/>
  <c r="AE6" i="4"/>
  <c r="AC6" i="4"/>
  <c r="AB6" i="4"/>
  <c r="AE5" i="4"/>
  <c r="AC5" i="4"/>
  <c r="AB5" i="4"/>
  <c r="AE4" i="4"/>
  <c r="AC4" i="4"/>
  <c r="AB4" i="4"/>
  <c r="AE3" i="4"/>
  <c r="AC3" i="4"/>
  <c r="AB3" i="4"/>
  <c r="AE2" i="4"/>
  <c r="AC2" i="4"/>
  <c r="AB2" i="4"/>
  <c r="AF2" i="4" l="1"/>
  <c r="AD2" i="4"/>
  <c r="AF3" i="4"/>
  <c r="AD3" i="4"/>
  <c r="AF4" i="4"/>
  <c r="AD4" i="4"/>
  <c r="AF5" i="4"/>
  <c r="AD5" i="4"/>
  <c r="AF6" i="4"/>
  <c r="AD6" i="4"/>
  <c r="AF7" i="4"/>
  <c r="AD7" i="4"/>
  <c r="AF8" i="4"/>
  <c r="AD8" i="4"/>
  <c r="AF9" i="4"/>
  <c r="AD9" i="4"/>
  <c r="AF10" i="4"/>
  <c r="AD10" i="4"/>
  <c r="AF11" i="4"/>
  <c r="AD11" i="4"/>
  <c r="AF12" i="4"/>
  <c r="AD12" i="4"/>
  <c r="AF13" i="4"/>
  <c r="AD13" i="4"/>
  <c r="AF14" i="4"/>
  <c r="AD14" i="4"/>
  <c r="AF15" i="4"/>
  <c r="AD15" i="4"/>
  <c r="AF16" i="4"/>
  <c r="AD16" i="4"/>
  <c r="AF17" i="4"/>
  <c r="AD17" i="4"/>
  <c r="AF18" i="4"/>
  <c r="AD18" i="4"/>
  <c r="AF19" i="4"/>
  <c r="AD19" i="4"/>
  <c r="AF20" i="4"/>
  <c r="AD20" i="4"/>
  <c r="AF21" i="4"/>
  <c r="AD21" i="4"/>
  <c r="AF22" i="4"/>
  <c r="AD22" i="4"/>
  <c r="AF23" i="4"/>
  <c r="AD23" i="4"/>
  <c r="AF24" i="4"/>
  <c r="AD24" i="4"/>
  <c r="AF25" i="4"/>
  <c r="AD25" i="4"/>
  <c r="AF26" i="4"/>
  <c r="AD26" i="4"/>
  <c r="AF27" i="4"/>
  <c r="AD27" i="4"/>
  <c r="AF28" i="4"/>
  <c r="AD28" i="4"/>
  <c r="AF29" i="4"/>
  <c r="AD29" i="4"/>
  <c r="AF30" i="4"/>
  <c r="AD30" i="4"/>
  <c r="AF31" i="4"/>
  <c r="AD31" i="4"/>
  <c r="AF32" i="4"/>
  <c r="AD32" i="4"/>
  <c r="AF33" i="4"/>
  <c r="AD33" i="4"/>
  <c r="AF34" i="4"/>
  <c r="AD34" i="4"/>
  <c r="AF35" i="4"/>
  <c r="AD35" i="4"/>
  <c r="AF36" i="4"/>
  <c r="AD36" i="4"/>
  <c r="AF37" i="4"/>
  <c r="AD37" i="4"/>
  <c r="AF38" i="4"/>
  <c r="AD38" i="4"/>
  <c r="AF39" i="4"/>
  <c r="AD39" i="4"/>
  <c r="AF40" i="4"/>
  <c r="AD40" i="4"/>
  <c r="AF41" i="4"/>
  <c r="AD41" i="4"/>
  <c r="AF42" i="4"/>
  <c r="AD42" i="4"/>
  <c r="AF43" i="4"/>
  <c r="AD43" i="4"/>
  <c r="AF44" i="4"/>
  <c r="AD44" i="4"/>
  <c r="AF45" i="4"/>
  <c r="AD45" i="4"/>
  <c r="AF46" i="4"/>
  <c r="AD46" i="4"/>
  <c r="AF47" i="4"/>
  <c r="AD47" i="4"/>
  <c r="AF48" i="4"/>
  <c r="AD48" i="4"/>
  <c r="AF49" i="4"/>
  <c r="AD49" i="4"/>
  <c r="AF50" i="4"/>
  <c r="AD50" i="4"/>
  <c r="AF51" i="4"/>
  <c r="AD51" i="4"/>
  <c r="AF52" i="4"/>
  <c r="AD52" i="4"/>
  <c r="AF53" i="4"/>
  <c r="AD53" i="4"/>
  <c r="AF54" i="4"/>
  <c r="AD54" i="4"/>
  <c r="AF55" i="4"/>
  <c r="AD55" i="4"/>
  <c r="AF56" i="4"/>
  <c r="AD56" i="4"/>
  <c r="AF57" i="4"/>
  <c r="AD57" i="4"/>
  <c r="AF58" i="4"/>
  <c r="AD58" i="4"/>
  <c r="AF59" i="4"/>
  <c r="AD59" i="4"/>
  <c r="AF60" i="4"/>
  <c r="AD60" i="4"/>
  <c r="AF61" i="4"/>
  <c r="AD61" i="4"/>
  <c r="AF62" i="4"/>
  <c r="AD62" i="4"/>
  <c r="AF63" i="4"/>
  <c r="AD63" i="4"/>
  <c r="AF64" i="4"/>
  <c r="AD64" i="4"/>
  <c r="AF65" i="4"/>
  <c r="AD65" i="4"/>
  <c r="AF66" i="4"/>
  <c r="AD66" i="4"/>
  <c r="AF67" i="4"/>
  <c r="AD67" i="4"/>
  <c r="AF68" i="4"/>
  <c r="AD68" i="4"/>
  <c r="AF69" i="4"/>
  <c r="AD69" i="4"/>
  <c r="AF70" i="4"/>
  <c r="AD70" i="4"/>
  <c r="AF71" i="4"/>
  <c r="AD71" i="4"/>
  <c r="AF72" i="4"/>
  <c r="AD72" i="4"/>
  <c r="AF73" i="4"/>
  <c r="AD73" i="4"/>
  <c r="AF74" i="4"/>
  <c r="AD74" i="4"/>
  <c r="AF75" i="4"/>
  <c r="AD75" i="4"/>
  <c r="AF76" i="4"/>
  <c r="AD76" i="4"/>
  <c r="AF77" i="4"/>
  <c r="AD77" i="4"/>
  <c r="AF78" i="4"/>
  <c r="AD78" i="4"/>
  <c r="AF79" i="4"/>
  <c r="AD79" i="4"/>
  <c r="AF80" i="4"/>
  <c r="AD80" i="4"/>
  <c r="AF81" i="4"/>
  <c r="AD81" i="4"/>
  <c r="AF82" i="4"/>
  <c r="AD82" i="4"/>
  <c r="AF83" i="4"/>
  <c r="AD83" i="4"/>
  <c r="AF84" i="4"/>
  <c r="AD84" i="4"/>
  <c r="AF85" i="4"/>
  <c r="AD85" i="4"/>
  <c r="AF86" i="4"/>
  <c r="AD86" i="4"/>
  <c r="AF87" i="4"/>
  <c r="AD87" i="4"/>
  <c r="AF88" i="4"/>
  <c r="AD88" i="4"/>
  <c r="AF89" i="4"/>
  <c r="AD89" i="4"/>
  <c r="AF90" i="4"/>
  <c r="AD90" i="4"/>
  <c r="AF91" i="4"/>
  <c r="AD91" i="4"/>
  <c r="AF92" i="4"/>
  <c r="AD92" i="4"/>
  <c r="AF93" i="4"/>
  <c r="AD93" i="4"/>
  <c r="AF94" i="4"/>
  <c r="AD94" i="4"/>
  <c r="AF95" i="4"/>
  <c r="AD95" i="4"/>
  <c r="AF96" i="4"/>
  <c r="AD96" i="4"/>
  <c r="AF97" i="4"/>
  <c r="AD97" i="4"/>
  <c r="AF98" i="4"/>
  <c r="AD98" i="4"/>
  <c r="AF99" i="4"/>
  <c r="AD99" i="4"/>
  <c r="AF100" i="4"/>
  <c r="AD100" i="4"/>
  <c r="AF101" i="4"/>
  <c r="AD101" i="4"/>
  <c r="AF102" i="4"/>
  <c r="AD102" i="4"/>
  <c r="AF103" i="4"/>
  <c r="AD103" i="4"/>
  <c r="AF104" i="4"/>
  <c r="AD104" i="4"/>
  <c r="AF105" i="4"/>
  <c r="AD105" i="4"/>
  <c r="AF106" i="4"/>
  <c r="AD106" i="4"/>
  <c r="AF107" i="4"/>
  <c r="AD107" i="4"/>
  <c r="AF108" i="4"/>
  <c r="AD108" i="4"/>
  <c r="AF109" i="4"/>
  <c r="AD109" i="4"/>
  <c r="AF110" i="4"/>
  <c r="AD110" i="4"/>
  <c r="AF111" i="4"/>
  <c r="AD111" i="4"/>
  <c r="AF112" i="4"/>
  <c r="AD112" i="4"/>
  <c r="AF113" i="4"/>
  <c r="AD113" i="4"/>
  <c r="AF114" i="4"/>
  <c r="AD114" i="4"/>
  <c r="AF115" i="4"/>
  <c r="AD115" i="4"/>
  <c r="AF116" i="4"/>
  <c r="AD116" i="4"/>
  <c r="AF117" i="4"/>
  <c r="AD117" i="4"/>
  <c r="AF118" i="4"/>
  <c r="AD118" i="4"/>
  <c r="AF119" i="4"/>
  <c r="AD119" i="4"/>
  <c r="AF120" i="4"/>
  <c r="AD120" i="4"/>
  <c r="AF121" i="4"/>
  <c r="AD121" i="4"/>
  <c r="AF122" i="4"/>
  <c r="AD122" i="4"/>
  <c r="AF123" i="4"/>
  <c r="AD123" i="4"/>
  <c r="AF124" i="4"/>
  <c r="AD124" i="4"/>
  <c r="AF125" i="4"/>
  <c r="AD125" i="4"/>
  <c r="AF126" i="4"/>
  <c r="AD126" i="4"/>
  <c r="AF127" i="4"/>
  <c r="AD127" i="4"/>
  <c r="AF128" i="4"/>
  <c r="AD128" i="4"/>
  <c r="AF129" i="4"/>
  <c r="AD129" i="4"/>
  <c r="AF130" i="4"/>
  <c r="AD130" i="4"/>
  <c r="AF131" i="4"/>
  <c r="AD131" i="4"/>
  <c r="AF132" i="4"/>
  <c r="AD132" i="4"/>
  <c r="AF133" i="4"/>
  <c r="AD133" i="4"/>
  <c r="AF134" i="4"/>
  <c r="AD134" i="4"/>
  <c r="AF135" i="4"/>
  <c r="AD135" i="4"/>
  <c r="AF136" i="4"/>
  <c r="AD136" i="4"/>
  <c r="AF137" i="4"/>
  <c r="AD137" i="4"/>
  <c r="AF138" i="4"/>
  <c r="AD138" i="4"/>
  <c r="AF139" i="4"/>
  <c r="AD139" i="4"/>
  <c r="AF140" i="4"/>
  <c r="AD140" i="4"/>
  <c r="AF141" i="4"/>
  <c r="AD141" i="4"/>
  <c r="AF142" i="4"/>
  <c r="AD142" i="4"/>
  <c r="AF143" i="4"/>
  <c r="AD143" i="4"/>
  <c r="AF144" i="4"/>
  <c r="AD144" i="4"/>
  <c r="AF145" i="4"/>
  <c r="AD145" i="4"/>
  <c r="AF146" i="4"/>
  <c r="AD146" i="4"/>
  <c r="AF147" i="4"/>
  <c r="AD147" i="4"/>
  <c r="AF148" i="4"/>
  <c r="AD148" i="4"/>
  <c r="AF149" i="4"/>
  <c r="AD149" i="4"/>
  <c r="AF150" i="4"/>
  <c r="AD150" i="4"/>
  <c r="AF151" i="4"/>
  <c r="AD151" i="4"/>
  <c r="AF152" i="4"/>
  <c r="AD152" i="4"/>
  <c r="AF153" i="4"/>
  <c r="AD153" i="4"/>
  <c r="AF154" i="4"/>
  <c r="AD154" i="4"/>
  <c r="AF155" i="4"/>
  <c r="AD155" i="4"/>
  <c r="AF156" i="4"/>
  <c r="AD156" i="4"/>
  <c r="AF157" i="4"/>
  <c r="AD157" i="4"/>
  <c r="AF158" i="4"/>
  <c r="AD158" i="4"/>
  <c r="AF159" i="4"/>
  <c r="AD159" i="4"/>
  <c r="AF160" i="4"/>
  <c r="AD160" i="4"/>
  <c r="AF161" i="4"/>
  <c r="AD161" i="4"/>
  <c r="AF162" i="4"/>
  <c r="AD162" i="4"/>
  <c r="AF163" i="4"/>
  <c r="AD163" i="4"/>
  <c r="AF164" i="4"/>
  <c r="AD164" i="4"/>
  <c r="AF165" i="4"/>
  <c r="AD165" i="4"/>
  <c r="AF166" i="4"/>
  <c r="AD166" i="4"/>
  <c r="AF167" i="4"/>
  <c r="AD167" i="4"/>
  <c r="AF168" i="4"/>
  <c r="AD168" i="4"/>
  <c r="AF169" i="4"/>
  <c r="AD169" i="4"/>
  <c r="AF170" i="4"/>
  <c r="AD170" i="4"/>
  <c r="AF171" i="4"/>
  <c r="AD171" i="4"/>
  <c r="AF172" i="4"/>
  <c r="AD172" i="4"/>
  <c r="AF173" i="4"/>
  <c r="AD173" i="4"/>
  <c r="AF174" i="4"/>
  <c r="AD174" i="4"/>
  <c r="AF175" i="4"/>
  <c r="AD175" i="4"/>
  <c r="AF176" i="4"/>
  <c r="AD176" i="4"/>
  <c r="AF177" i="4"/>
  <c r="AD177" i="4"/>
  <c r="AF178" i="4"/>
  <c r="AD178" i="4"/>
  <c r="AF179" i="4"/>
  <c r="AD179" i="4"/>
  <c r="AF180" i="4"/>
  <c r="AD180" i="4"/>
  <c r="AF181" i="4"/>
  <c r="AD181" i="4"/>
  <c r="AF182" i="4"/>
  <c r="AD182" i="4"/>
  <c r="AF183" i="4"/>
  <c r="AD183" i="4"/>
  <c r="AF184" i="4"/>
  <c r="AD184" i="4"/>
  <c r="AF185" i="4"/>
  <c r="AD185" i="4"/>
  <c r="AF186" i="4"/>
  <c r="AD186" i="4"/>
  <c r="AF187" i="4"/>
  <c r="AD187" i="4"/>
  <c r="AF188" i="4"/>
  <c r="AD188" i="4"/>
  <c r="AF189" i="4"/>
  <c r="AD189" i="4"/>
  <c r="AF190" i="4"/>
  <c r="AD190" i="4"/>
  <c r="AF191" i="4"/>
  <c r="AD191" i="4"/>
  <c r="AF192" i="4"/>
  <c r="AD192" i="4"/>
  <c r="AF193" i="4"/>
  <c r="AD193" i="4"/>
  <c r="AF194" i="4"/>
  <c r="AD194" i="4"/>
  <c r="AF195" i="4"/>
  <c r="AD195" i="4"/>
  <c r="AF196" i="4"/>
  <c r="AD196" i="4"/>
  <c r="AF197" i="4"/>
  <c r="AD197" i="4"/>
  <c r="AF198" i="4"/>
  <c r="AD198" i="4"/>
  <c r="AF199" i="4"/>
  <c r="AD199" i="4"/>
  <c r="AF200" i="4"/>
  <c r="AD200" i="4"/>
  <c r="AF201" i="4"/>
  <c r="AD201" i="4"/>
  <c r="AF202" i="4"/>
  <c r="AD202" i="4"/>
  <c r="AF203" i="4"/>
  <c r="AD203" i="4"/>
  <c r="AF204" i="4"/>
  <c r="AD204" i="4"/>
  <c r="AF205" i="4"/>
  <c r="AD205" i="4"/>
  <c r="AF206" i="4"/>
  <c r="AD206" i="4"/>
  <c r="AF207" i="4"/>
  <c r="AD207" i="4"/>
  <c r="AF208" i="4"/>
  <c r="AD208" i="4"/>
  <c r="AF209" i="4"/>
  <c r="AD209" i="4"/>
  <c r="AF210" i="4"/>
  <c r="AD210" i="4"/>
  <c r="AF211" i="4"/>
  <c r="AD211" i="4"/>
  <c r="AF212" i="4"/>
  <c r="AD212" i="4"/>
  <c r="AF213" i="4"/>
  <c r="AD213" i="4"/>
  <c r="AF214" i="4"/>
  <c r="AD214" i="4"/>
  <c r="AF215" i="4"/>
  <c r="AD215" i="4"/>
  <c r="AF216" i="4"/>
  <c r="AD216" i="4"/>
  <c r="AF217" i="4"/>
  <c r="AD217" i="4"/>
  <c r="AF218" i="4"/>
  <c r="AD218" i="4"/>
  <c r="AF219" i="4"/>
  <c r="AD219" i="4"/>
  <c r="AF220" i="4"/>
  <c r="AD220" i="4"/>
  <c r="AF221" i="4"/>
  <c r="AD221" i="4"/>
  <c r="AF222" i="4"/>
  <c r="AD222" i="4"/>
  <c r="AF223" i="4"/>
  <c r="AD223" i="4"/>
  <c r="AF224" i="4"/>
  <c r="AD224" i="4"/>
  <c r="AF225" i="4"/>
  <c r="AD225" i="4"/>
  <c r="AF226" i="4"/>
  <c r="AD226" i="4"/>
  <c r="AF227" i="4"/>
  <c r="AD227" i="4"/>
  <c r="AF228" i="4"/>
  <c r="AD228" i="4"/>
  <c r="AF229" i="4"/>
  <c r="AD229" i="4"/>
  <c r="AF230" i="4"/>
  <c r="AD230" i="4"/>
  <c r="AF231" i="4"/>
  <c r="AD231" i="4"/>
  <c r="AF232" i="4"/>
  <c r="AD232" i="4"/>
  <c r="AF233" i="4"/>
  <c r="AD233" i="4"/>
  <c r="AF234" i="4"/>
  <c r="AD234" i="4"/>
  <c r="AF235" i="4"/>
  <c r="AD235" i="4"/>
  <c r="AF236" i="4"/>
  <c r="AD236" i="4"/>
  <c r="AF237" i="4"/>
  <c r="AD237" i="4"/>
  <c r="AF238" i="4"/>
  <c r="AD238" i="4"/>
  <c r="AF239" i="4"/>
  <c r="AD239" i="4"/>
  <c r="AF240" i="4"/>
  <c r="AD240" i="4"/>
  <c r="AF241" i="4"/>
  <c r="AD241" i="4"/>
  <c r="AF242" i="4"/>
  <c r="AD242" i="4"/>
  <c r="AF243" i="4"/>
  <c r="AD243" i="4"/>
  <c r="AF244" i="4"/>
  <c r="AD244" i="4"/>
  <c r="AF245" i="4"/>
  <c r="AD245" i="4"/>
  <c r="AF246" i="4"/>
  <c r="AD246" i="4"/>
  <c r="AF247" i="4"/>
  <c r="AD247" i="4"/>
  <c r="AF248" i="4"/>
  <c r="AD248" i="4"/>
  <c r="AF249" i="4"/>
  <c r="AD249" i="4"/>
  <c r="AF250" i="4"/>
  <c r="AD250" i="4"/>
  <c r="AF251" i="4"/>
  <c r="AD251" i="4"/>
  <c r="AF252" i="4"/>
  <c r="AD252" i="4"/>
  <c r="AF253" i="4"/>
  <c r="AD253" i="4"/>
  <c r="AF254" i="4"/>
  <c r="AD254" i="4"/>
  <c r="AF255" i="4"/>
  <c r="AD255" i="4"/>
  <c r="AF256" i="4"/>
  <c r="AD256" i="4"/>
  <c r="AF257" i="4"/>
  <c r="AD257" i="4"/>
  <c r="AF258" i="4"/>
  <c r="AD258" i="4"/>
  <c r="AF259" i="4"/>
  <c r="AD259" i="4"/>
  <c r="AF260" i="4"/>
  <c r="AD260" i="4"/>
  <c r="AF261" i="4"/>
  <c r="AD261" i="4"/>
  <c r="AF262" i="4"/>
  <c r="AD262" i="4"/>
  <c r="AF263" i="4"/>
  <c r="AD263" i="4"/>
  <c r="AF264" i="4"/>
  <c r="AD264" i="4"/>
  <c r="AF265" i="4"/>
  <c r="AD265" i="4"/>
  <c r="AF266" i="4"/>
  <c r="AD266" i="4"/>
  <c r="AF267" i="4"/>
  <c r="AD267" i="4"/>
  <c r="AF268" i="4"/>
  <c r="AD268" i="4"/>
  <c r="AF269" i="4"/>
  <c r="AD269" i="4"/>
  <c r="AF270" i="4"/>
  <c r="AD270" i="4"/>
  <c r="AF271" i="4"/>
  <c r="AD271" i="4"/>
  <c r="AF272" i="4"/>
  <c r="AD272" i="4"/>
  <c r="AF273" i="4"/>
  <c r="AD273" i="4"/>
  <c r="AF274" i="4"/>
  <c r="AD274" i="4"/>
  <c r="AF275" i="4"/>
  <c r="AD275" i="4"/>
  <c r="AF276" i="4"/>
  <c r="AD276" i="4"/>
  <c r="AF277" i="4"/>
  <c r="AD277" i="4"/>
  <c r="AF278" i="4"/>
  <c r="AD278" i="4"/>
  <c r="AF279" i="4"/>
  <c r="AD279" i="4"/>
  <c r="AF280" i="4"/>
  <c r="AD280" i="4"/>
  <c r="AF281" i="4"/>
  <c r="AD281" i="4"/>
  <c r="AF282" i="4"/>
  <c r="AD282" i="4"/>
  <c r="AF283" i="4"/>
  <c r="AD283" i="4"/>
  <c r="AF284" i="4"/>
  <c r="AD284" i="4"/>
  <c r="AF285" i="4"/>
  <c r="AD285" i="4"/>
  <c r="AF286" i="4"/>
  <c r="AD286" i="4"/>
  <c r="AF287" i="4"/>
  <c r="AD287" i="4"/>
  <c r="AF288" i="4"/>
  <c r="AD288" i="4"/>
  <c r="AF289" i="4"/>
  <c r="AD289" i="4"/>
  <c r="AF290" i="4"/>
  <c r="AD290" i="4"/>
  <c r="AF291" i="4"/>
  <c r="AD291" i="4"/>
  <c r="AF292" i="4"/>
  <c r="AD292" i="4"/>
  <c r="AF293" i="4"/>
  <c r="AD293" i="4"/>
  <c r="AF294" i="4"/>
  <c r="AD294" i="4"/>
  <c r="AF295" i="4"/>
  <c r="AD295" i="4"/>
  <c r="AF296" i="4"/>
  <c r="AD296" i="4"/>
  <c r="AF297" i="4"/>
  <c r="AD297" i="4"/>
  <c r="AF298" i="4"/>
  <c r="AD298" i="4"/>
  <c r="AF299" i="4"/>
  <c r="AD299" i="4"/>
  <c r="AF300" i="4"/>
  <c r="AD300" i="4"/>
  <c r="AF301" i="4"/>
  <c r="AD301" i="4"/>
  <c r="AF302" i="4"/>
  <c r="AD302" i="4"/>
  <c r="AF303" i="4"/>
  <c r="AD303" i="4"/>
  <c r="AF304" i="4"/>
  <c r="AD304" i="4"/>
  <c r="AF305" i="4"/>
  <c r="AD305" i="4"/>
  <c r="AF306" i="4"/>
  <c r="AD306" i="4"/>
  <c r="AF307" i="4"/>
  <c r="AD307" i="4"/>
  <c r="AF308" i="4"/>
  <c r="AD308" i="4"/>
  <c r="AF309" i="4"/>
  <c r="AD309" i="4"/>
  <c r="AF310" i="4"/>
  <c r="AD310" i="4"/>
  <c r="AF311" i="4"/>
  <c r="AD311" i="4"/>
  <c r="AF312" i="4"/>
  <c r="AD312" i="4"/>
  <c r="AF313" i="4"/>
  <c r="AD313" i="4"/>
  <c r="AF314" i="4"/>
  <c r="AD314" i="4"/>
  <c r="AF315" i="4"/>
  <c r="AD315" i="4"/>
  <c r="AF316" i="4"/>
  <c r="AD316" i="4"/>
  <c r="AF317" i="4"/>
  <c r="AD317" i="4"/>
  <c r="AF318" i="4"/>
  <c r="AD318" i="4"/>
  <c r="AF319" i="4"/>
  <c r="AD319" i="4"/>
  <c r="AF320" i="4"/>
  <c r="AD320" i="4"/>
  <c r="AF321" i="4"/>
  <c r="AD321" i="4"/>
</calcChain>
</file>

<file path=xl/sharedStrings.xml><?xml version="1.0" encoding="utf-8"?>
<sst xmlns="http://schemas.openxmlformats.org/spreadsheetml/2006/main" count="11534" uniqueCount="1500">
  <si>
    <t>Ghanaian Aquifer Dataset Under Aridification</t>
  </si>
  <si>
    <t>Research title</t>
  </si>
  <si>
    <t>Graph-Inverted Ghanaian Aquifers Under Aridification</t>
  </si>
  <si>
    <t>Study area</t>
  </si>
  <si>
    <t>Northern Region, North East Region, Upper East Region, Upper West Region, Ghana</t>
  </si>
  <si>
    <t>Dataset version</t>
  </si>
  <si>
    <t>v1.0</t>
  </si>
  <si>
    <t>Design</t>
  </si>
  <si>
    <t>160 boreholes; wet and dry season chemistry; climate/aridification series; graph edges; model-ready process scores</t>
  </si>
  <si>
    <t>Data tables included</t>
  </si>
  <si>
    <t>Wells, seasonal hydrochemistry, climate indices, graph edges, model feature matrix, data dictionary</t>
  </si>
  <si>
    <t>Analytical use</t>
  </si>
  <si>
    <t>Aquifer evolution classification, hydrochemical process interpretation, graph modelling, and sampling-plan optimisation</t>
  </si>
  <si>
    <t>Core analytical purpose</t>
  </si>
  <si>
    <t>Integrates groundwater chemistry, climate stress, geology and spatial connectivity for graph-based reconstruction of aquifer evolution pathways, including recharge-weathering, evaporative salinity, fluoride mobilisation, nitrate contamination and ion-exchange transitions.</t>
  </si>
  <si>
    <t>Correction_Status</t>
  </si>
  <si>
    <t>Five Mendeley-readiness fixes applied: Data_Class filled, high-CBE samples flagged, coordinates masked, dates converted to YYYY-MM-DD, data dictionary expanded.</t>
  </si>
  <si>
    <t>Coordinate_Status</t>
  </si>
  <si>
    <t>Latitude and Longitude are spatially masked, not exact borehole coordinates.</t>
  </si>
  <si>
    <t>QC_Data_Class_Rule</t>
  </si>
  <si>
    <t>abs(CBE) ≤ 5% quantitative; 5% &lt; abs(CBE) ≤ 10% screening only; abs(CBE) &gt; 10% exploratory only.</t>
  </si>
  <si>
    <t>Dashboard — Ghanaian Aquifer Dataset Under Aridification</t>
  </si>
  <si>
    <t>Summary statistics and regional aggregation.</t>
  </si>
  <si>
    <t>Wells</t>
  </si>
  <si>
    <t>High dry-season F &gt; 1.5 mg/L</t>
  </si>
  <si>
    <t>Seasonal samples</t>
  </si>
  <si>
    <t>High dry-season NO3 &gt; 50 mg/L</t>
  </si>
  <si>
    <t>Mean dry EC (µS/cm)</t>
  </si>
  <si>
    <t>Mean wet EC (µS/cm)</t>
  </si>
  <si>
    <t>Samples within ±5% CBE</t>
  </si>
  <si>
    <t>91.9%</t>
  </si>
  <si>
    <t>Strongest 2025 aridity signal</t>
  </si>
  <si>
    <t>Upper East Region</t>
  </si>
  <si>
    <t>CBE &gt; ±10% flagged</t>
  </si>
  <si>
    <t>Coordinate status</t>
  </si>
  <si>
    <t>Spatially masked</t>
  </si>
  <si>
    <t>Regional summary</t>
  </si>
  <si>
    <t>Region</t>
  </si>
  <si>
    <t>Wells_n</t>
  </si>
  <si>
    <t>Samples_n</t>
  </si>
  <si>
    <t>Mean_Dry_EC_uS_cm</t>
  </si>
  <si>
    <t>Mean_Dry_F_mg_L</t>
  </si>
  <si>
    <t>Mean_Dry_NO3_mg_L</t>
  </si>
  <si>
    <t>High_F_gt_1_5_n</t>
  </si>
  <si>
    <t>High_NO3_gt_50_n</t>
  </si>
  <si>
    <t>Mean_Aridity_Index_2025</t>
  </si>
  <si>
    <t>Dominant_Process</t>
  </si>
  <si>
    <t>Northern Region</t>
  </si>
  <si>
    <t>Silicate weathering and recharge mixing</t>
  </si>
  <si>
    <t>North East Region</t>
  </si>
  <si>
    <t>Upper West Region</t>
  </si>
  <si>
    <t>Well_ID</t>
  </si>
  <si>
    <t>District</t>
  </si>
  <si>
    <t>Community_Code</t>
  </si>
  <si>
    <t>Latitude</t>
  </si>
  <si>
    <t>Longitude</t>
  </si>
  <si>
    <t>Elevation_m</t>
  </si>
  <si>
    <t>Borehole_Depth_m</t>
  </si>
  <si>
    <t>Static_Water_Level_m</t>
  </si>
  <si>
    <t>Aquifer_Type</t>
  </si>
  <si>
    <t>Geology_Group</t>
  </si>
  <si>
    <t>Lithology</t>
  </si>
  <si>
    <t>Land_Use</t>
  </si>
  <si>
    <t>Distance_River_km</t>
  </si>
  <si>
    <t>Distance_Farm_km</t>
  </si>
  <si>
    <t>Distance_Settlement_km</t>
  </si>
  <si>
    <t>Recharge_Zone_Score_0_1</t>
  </si>
  <si>
    <t>Aridity_Stress_0_1</t>
  </si>
  <si>
    <t>Fluoride_Geogenic_Risk_0_1</t>
  </si>
  <si>
    <t>Anthropogenic_Risk_0_1</t>
  </si>
  <si>
    <t>Graph_Node_Class</t>
  </si>
  <si>
    <t>Flag</t>
  </si>
  <si>
    <t>NGW-001</t>
  </si>
  <si>
    <t>Yendi</t>
  </si>
  <si>
    <t>YEN-35</t>
  </si>
  <si>
    <t>Middle Voltaian sedimentary aquifer</t>
  </si>
  <si>
    <t>Voltaian Supergroup</t>
  </si>
  <si>
    <t>mudstone–sandstone sequence</t>
  </si>
  <si>
    <t>settlement/peri-urban</t>
  </si>
  <si>
    <t>Mixed-process transition node</t>
  </si>
  <si>
    <t>Coordinates spatially masked; no issue</t>
  </si>
  <si>
    <t>NGW-002</t>
  </si>
  <si>
    <t>Savelugu</t>
  </si>
  <si>
    <t>SAV-92</t>
  </si>
  <si>
    <t>sandstone–shale interbeds</t>
  </si>
  <si>
    <t>savannah woodland</t>
  </si>
  <si>
    <t>NGW-003</t>
  </si>
  <si>
    <t>YEN-91</t>
  </si>
  <si>
    <t>NGW-004</t>
  </si>
  <si>
    <t>Mion</t>
  </si>
  <si>
    <t>MIO-73</t>
  </si>
  <si>
    <t>smallholder rainfed agriculture</t>
  </si>
  <si>
    <t>NGW-005</t>
  </si>
  <si>
    <t>YEN-46</t>
  </si>
  <si>
    <t>siltstone–shale unit</t>
  </si>
  <si>
    <t>livestock corridor</t>
  </si>
  <si>
    <t>NGW-006</t>
  </si>
  <si>
    <t>MIO-17</t>
  </si>
  <si>
    <t>NGW-007</t>
  </si>
  <si>
    <t>Nanumba North</t>
  </si>
  <si>
    <t>NAN-87</t>
  </si>
  <si>
    <t>Birimian fractured basement aquifer</t>
  </si>
  <si>
    <t>Birimian Supergroup</t>
  </si>
  <si>
    <t>greenstone belt fracture network</t>
  </si>
  <si>
    <t>Anthropogenic nitrate-risk node</t>
  </si>
  <si>
    <t>NGW-008</t>
  </si>
  <si>
    <t>Tamale</t>
  </si>
  <si>
    <t>TAM-23</t>
  </si>
  <si>
    <t>NGW-009</t>
  </si>
  <si>
    <t>MIO-79</t>
  </si>
  <si>
    <t>NGW-010</t>
  </si>
  <si>
    <t>MIO-02</t>
  </si>
  <si>
    <t>NGW-011</t>
  </si>
  <si>
    <t>MIO-71</t>
  </si>
  <si>
    <t>NGW-012</t>
  </si>
  <si>
    <t>SAV-82</t>
  </si>
  <si>
    <t>phyllite–schist fractured zone</t>
  </si>
  <si>
    <t>NGW-013</t>
  </si>
  <si>
    <t>YEN-19</t>
  </si>
  <si>
    <t>NGW-014</t>
  </si>
  <si>
    <t>Tolon</t>
  </si>
  <si>
    <t>TOL-24</t>
  </si>
  <si>
    <t>irrigated dry-season farming</t>
  </si>
  <si>
    <t>NGW-015</t>
  </si>
  <si>
    <t>SAV-14</t>
  </si>
  <si>
    <t>NGW-016</t>
  </si>
  <si>
    <t>TAM-42</t>
  </si>
  <si>
    <t>NGW-017</t>
  </si>
  <si>
    <t>SAV-18</t>
  </si>
  <si>
    <t>NGW-018</t>
  </si>
  <si>
    <t>YEN-47</t>
  </si>
  <si>
    <t>NGW-019</t>
  </si>
  <si>
    <t>SAV-05</t>
  </si>
  <si>
    <t>NGW-020</t>
  </si>
  <si>
    <t>Gushegu</t>
  </si>
  <si>
    <t>GUS-75</t>
  </si>
  <si>
    <t>NGW-021</t>
  </si>
  <si>
    <t>SAV-78</t>
  </si>
  <si>
    <t>NGW-022</t>
  </si>
  <si>
    <t>MIO-40</t>
  </si>
  <si>
    <t>NGW-023</t>
  </si>
  <si>
    <t>TOL-36</t>
  </si>
  <si>
    <t>Regolith/alluvial shallow aquifer</t>
  </si>
  <si>
    <t>Quaternary regolith/alluvium</t>
  </si>
  <si>
    <t>valley alluvium</t>
  </si>
  <si>
    <t>NGW-024</t>
  </si>
  <si>
    <t>GUS-58</t>
  </si>
  <si>
    <t>weathered regolith</t>
  </si>
  <si>
    <t>NGW-025</t>
  </si>
  <si>
    <t>TOL-88</t>
  </si>
  <si>
    <t>NGW-026</t>
  </si>
  <si>
    <t>GUS-14</t>
  </si>
  <si>
    <t>NGW-027</t>
  </si>
  <si>
    <t>SAV-62</t>
  </si>
  <si>
    <t>NGW-028</t>
  </si>
  <si>
    <t>NAN-04</t>
  </si>
  <si>
    <t>NGW-029</t>
  </si>
  <si>
    <t>SAV-22</t>
  </si>
  <si>
    <t>NGW-030</t>
  </si>
  <si>
    <t>TAM-85</t>
  </si>
  <si>
    <t>NGW-031</t>
  </si>
  <si>
    <t>SAV-12</t>
  </si>
  <si>
    <t>NGW-032</t>
  </si>
  <si>
    <t>GUS-80</t>
  </si>
  <si>
    <t>NGW-033</t>
  </si>
  <si>
    <t>NAN-39</t>
  </si>
  <si>
    <t>NGW-034</t>
  </si>
  <si>
    <t>Karaga</t>
  </si>
  <si>
    <t>KAR-84</t>
  </si>
  <si>
    <t>NGW-035</t>
  </si>
  <si>
    <t>YEN-16</t>
  </si>
  <si>
    <t>NGW-036</t>
  </si>
  <si>
    <t>SAV-68</t>
  </si>
  <si>
    <t>NGW-037</t>
  </si>
  <si>
    <t>SAV-95</t>
  </si>
  <si>
    <t>NGW-038</t>
  </si>
  <si>
    <t>TOL-41</t>
  </si>
  <si>
    <t>NGW-039</t>
  </si>
  <si>
    <t>SAV-45</t>
  </si>
  <si>
    <t>NGW-040</t>
  </si>
  <si>
    <t>SAV-19</t>
  </si>
  <si>
    <t>metavolcanic–metasedimentary rocks</t>
  </si>
  <si>
    <t>NGW-041</t>
  </si>
  <si>
    <t>Mamprugu Moagduri</t>
  </si>
  <si>
    <t>MAM-66</t>
  </si>
  <si>
    <t>lateritic saprolite</t>
  </si>
  <si>
    <t>NGW-042</t>
  </si>
  <si>
    <t>Walewale</t>
  </si>
  <si>
    <t>WAL-35</t>
  </si>
  <si>
    <t>NGW-043</t>
  </si>
  <si>
    <t>Chereponi</t>
  </si>
  <si>
    <t>CHE-40</t>
  </si>
  <si>
    <t>NGW-044</t>
  </si>
  <si>
    <t>WAL-21</t>
  </si>
  <si>
    <t>NGW-045</t>
  </si>
  <si>
    <t>Nalerigu</t>
  </si>
  <si>
    <t>NAL-87</t>
  </si>
  <si>
    <t>NGW-046</t>
  </si>
  <si>
    <t>NAL-38</t>
  </si>
  <si>
    <t>NGW-047</t>
  </si>
  <si>
    <t>MAM-96</t>
  </si>
  <si>
    <t>NGW-048</t>
  </si>
  <si>
    <t>Gambaga</t>
  </si>
  <si>
    <t>GAM-13</t>
  </si>
  <si>
    <t>NGW-049</t>
  </si>
  <si>
    <t>CHE-39</t>
  </si>
  <si>
    <t>NGW-050</t>
  </si>
  <si>
    <t>Bunkpurugu</t>
  </si>
  <si>
    <t>BUN-10</t>
  </si>
  <si>
    <t>NGW-051</t>
  </si>
  <si>
    <t>CHE-10</t>
  </si>
  <si>
    <t>NGW-052</t>
  </si>
  <si>
    <t>GAM-39</t>
  </si>
  <si>
    <t>NGW-053</t>
  </si>
  <si>
    <t>Yunyoo-Nasuan</t>
  </si>
  <si>
    <t>YUN-90</t>
  </si>
  <si>
    <t>NGW-054</t>
  </si>
  <si>
    <t>BUN-99</t>
  </si>
  <si>
    <t>NGW-055</t>
  </si>
  <si>
    <t>BUN-85</t>
  </si>
  <si>
    <t>NGW-056</t>
  </si>
  <si>
    <t>GAM-29</t>
  </si>
  <si>
    <t>NGW-057</t>
  </si>
  <si>
    <t>MAM-22</t>
  </si>
  <si>
    <t>NGW-058</t>
  </si>
  <si>
    <t>CHE-03</t>
  </si>
  <si>
    <t>NGW-059</t>
  </si>
  <si>
    <t>GAM-93</t>
  </si>
  <si>
    <t>NGW-060</t>
  </si>
  <si>
    <t>GAM-58</t>
  </si>
  <si>
    <t>NGW-061</t>
  </si>
  <si>
    <t>YUN-06</t>
  </si>
  <si>
    <t>NGW-062</t>
  </si>
  <si>
    <t>YUN-09</t>
  </si>
  <si>
    <t>NGW-063</t>
  </si>
  <si>
    <t>MAM-17</t>
  </si>
  <si>
    <t>NGW-064</t>
  </si>
  <si>
    <t>YUN-87</t>
  </si>
  <si>
    <t>NGW-065</t>
  </si>
  <si>
    <t>GAM-09</t>
  </si>
  <si>
    <t>NGW-066</t>
  </si>
  <si>
    <t>NAL-59</t>
  </si>
  <si>
    <t>NGW-067</t>
  </si>
  <si>
    <t>NAL-54</t>
  </si>
  <si>
    <t>NGW-068</t>
  </si>
  <si>
    <t>YUN-22</t>
  </si>
  <si>
    <t>NGW-069</t>
  </si>
  <si>
    <t>BUN-76</t>
  </si>
  <si>
    <t>NGW-070</t>
  </si>
  <si>
    <t>NAL-52</t>
  </si>
  <si>
    <t>NGW-071</t>
  </si>
  <si>
    <t>MAM-32</t>
  </si>
  <si>
    <t>NGW-072</t>
  </si>
  <si>
    <t>YUN-68</t>
  </si>
  <si>
    <t>NGW-073</t>
  </si>
  <si>
    <t>GAM-14</t>
  </si>
  <si>
    <t>NGW-074</t>
  </si>
  <si>
    <t>NAL-63</t>
  </si>
  <si>
    <t>NGW-075</t>
  </si>
  <si>
    <t>NAL-58</t>
  </si>
  <si>
    <t>NGW-076</t>
  </si>
  <si>
    <t>WAL-65</t>
  </si>
  <si>
    <t>NGW-077</t>
  </si>
  <si>
    <t>YUN-38</t>
  </si>
  <si>
    <t>NGW-078</t>
  </si>
  <si>
    <t>GAM-20</t>
  </si>
  <si>
    <t>NGW-079</t>
  </si>
  <si>
    <t>MAM-38</t>
  </si>
  <si>
    <t>NGW-080</t>
  </si>
  <si>
    <t>WAL-54</t>
  </si>
  <si>
    <t>NGW-081</t>
  </si>
  <si>
    <t>Bawku</t>
  </si>
  <si>
    <t>BAW-95</t>
  </si>
  <si>
    <t>Evapoconcentration-risk node</t>
  </si>
  <si>
    <t>NGW-082</t>
  </si>
  <si>
    <t>Bolgatanga</t>
  </si>
  <si>
    <t>BOL-26</t>
  </si>
  <si>
    <t>Granitoid fractured basement aquifer</t>
  </si>
  <si>
    <t>Paleoproterozoic granitoid complex</t>
  </si>
  <si>
    <t>gneissic fractured basement</t>
  </si>
  <si>
    <t>Geogenic fluoride-risk node</t>
  </si>
  <si>
    <t>NGW-083</t>
  </si>
  <si>
    <t>BOL-92</t>
  </si>
  <si>
    <t>granitoid saprolite</t>
  </si>
  <si>
    <t>NGW-084</t>
  </si>
  <si>
    <t>BAW-13</t>
  </si>
  <si>
    <t>NGW-085</t>
  </si>
  <si>
    <t>Navrongo</t>
  </si>
  <si>
    <t>NAV-41</t>
  </si>
  <si>
    <t>NGW-086</t>
  </si>
  <si>
    <t>BOL-94</t>
  </si>
  <si>
    <t>NGW-087</t>
  </si>
  <si>
    <t>Zebilla</t>
  </si>
  <si>
    <t>ZEB-31</t>
  </si>
  <si>
    <t>granite–gneiss weathered/fractured zone</t>
  </si>
  <si>
    <t>NGW-088</t>
  </si>
  <si>
    <t>Paga</t>
  </si>
  <si>
    <t>PAG-05</t>
  </si>
  <si>
    <t>NGW-089</t>
  </si>
  <si>
    <t>BAW-28</t>
  </si>
  <si>
    <t>NGW-090</t>
  </si>
  <si>
    <t>BOL-40</t>
  </si>
  <si>
    <t>NGW-091</t>
  </si>
  <si>
    <t>Talensi</t>
  </si>
  <si>
    <t>TAL-92</t>
  </si>
  <si>
    <t>NGW-092</t>
  </si>
  <si>
    <t>TAL-38</t>
  </si>
  <si>
    <t>NGW-093</t>
  </si>
  <si>
    <t>TAL-01</t>
  </si>
  <si>
    <t>NGW-094</t>
  </si>
  <si>
    <t>ZEB-60</t>
  </si>
  <si>
    <t>NGW-095</t>
  </si>
  <si>
    <t>BAW-25</t>
  </si>
  <si>
    <t>NGW-096</t>
  </si>
  <si>
    <t>BOL-73</t>
  </si>
  <si>
    <t>NGW-097</t>
  </si>
  <si>
    <t>Bongo</t>
  </si>
  <si>
    <t>BON-96</t>
  </si>
  <si>
    <t>NGW-098</t>
  </si>
  <si>
    <t>NAV-76</t>
  </si>
  <si>
    <t>NGW-099</t>
  </si>
  <si>
    <t>BAW-26</t>
  </si>
  <si>
    <t>NGW-100</t>
  </si>
  <si>
    <t>Garu</t>
  </si>
  <si>
    <t>GAR-40</t>
  </si>
  <si>
    <t>NGW-101</t>
  </si>
  <si>
    <t>PAG-89</t>
  </si>
  <si>
    <t>NGW-102</t>
  </si>
  <si>
    <t>ZEB-91</t>
  </si>
  <si>
    <t>NGW-103</t>
  </si>
  <si>
    <t>GAR-72</t>
  </si>
  <si>
    <t>NGW-104</t>
  </si>
  <si>
    <t>ZEB-29</t>
  </si>
  <si>
    <t>NGW-105</t>
  </si>
  <si>
    <t>TAL-70</t>
  </si>
  <si>
    <t>NGW-106</t>
  </si>
  <si>
    <t>BAW-10</t>
  </si>
  <si>
    <t>NGW-107</t>
  </si>
  <si>
    <t>GAR-86</t>
  </si>
  <si>
    <t>NGW-108</t>
  </si>
  <si>
    <t>PAG-68</t>
  </si>
  <si>
    <t>NGW-109</t>
  </si>
  <si>
    <t>NAV-10</t>
  </si>
  <si>
    <t>NGW-110</t>
  </si>
  <si>
    <t>BAW-31</t>
  </si>
  <si>
    <t>NGW-111</t>
  </si>
  <si>
    <t>ZEB-21</t>
  </si>
  <si>
    <t>NGW-112</t>
  </si>
  <si>
    <t>BON-18</t>
  </si>
  <si>
    <t>NGW-113</t>
  </si>
  <si>
    <t>BOL-83</t>
  </si>
  <si>
    <t>NGW-114</t>
  </si>
  <si>
    <t>BON-98</t>
  </si>
  <si>
    <t>NGW-115</t>
  </si>
  <si>
    <t>NAV-98</t>
  </si>
  <si>
    <t>NGW-116</t>
  </si>
  <si>
    <t>BON-62</t>
  </si>
  <si>
    <t>NGW-117</t>
  </si>
  <si>
    <t>PAG-77</t>
  </si>
  <si>
    <t>NGW-118</t>
  </si>
  <si>
    <t>PAG-07</t>
  </si>
  <si>
    <t>NGW-119</t>
  </si>
  <si>
    <t>GAR-02</t>
  </si>
  <si>
    <t>NGW-120</t>
  </si>
  <si>
    <t>BON-84</t>
  </si>
  <si>
    <t>NGW-121</t>
  </si>
  <si>
    <t>Tumu</t>
  </si>
  <si>
    <t>TUM-50</t>
  </si>
  <si>
    <t>NGW-122</t>
  </si>
  <si>
    <t>TUM-25</t>
  </si>
  <si>
    <t>NGW-123</t>
  </si>
  <si>
    <t>TUM-53</t>
  </si>
  <si>
    <t>NGW-124</t>
  </si>
  <si>
    <t>TUM-78</t>
  </si>
  <si>
    <t>NGW-125</t>
  </si>
  <si>
    <t>Wa</t>
  </si>
  <si>
    <t>WA-34</t>
  </si>
  <si>
    <t>NGW-126</t>
  </si>
  <si>
    <t>Lawra</t>
  </si>
  <si>
    <t>LAW-77</t>
  </si>
  <si>
    <t>NGW-127</t>
  </si>
  <si>
    <t>WA-45</t>
  </si>
  <si>
    <t>NGW-128</t>
  </si>
  <si>
    <t>LAW-99</t>
  </si>
  <si>
    <t>NGW-129</t>
  </si>
  <si>
    <t>WA-24</t>
  </si>
  <si>
    <t>NGW-130</t>
  </si>
  <si>
    <t>Daffiama-Bussie-Issa</t>
  </si>
  <si>
    <t>DAF-48</t>
  </si>
  <si>
    <t>NGW-131</t>
  </si>
  <si>
    <t>LAW-16</t>
  </si>
  <si>
    <t>NGW-132</t>
  </si>
  <si>
    <t>LAW-72</t>
  </si>
  <si>
    <t>NGW-133</t>
  </si>
  <si>
    <t>Nandom</t>
  </si>
  <si>
    <t>NAN-06</t>
  </si>
  <si>
    <t>NGW-134</t>
  </si>
  <si>
    <t>Lambussie</t>
  </si>
  <si>
    <t>LAM-28</t>
  </si>
  <si>
    <t>NGW-135</t>
  </si>
  <si>
    <t>LAW-44</t>
  </si>
  <si>
    <t>NGW-136</t>
  </si>
  <si>
    <t>DAF-76</t>
  </si>
  <si>
    <t>NGW-137</t>
  </si>
  <si>
    <t>DAF-49</t>
  </si>
  <si>
    <t>NGW-138</t>
  </si>
  <si>
    <t>Nadowli-Kaleo</t>
  </si>
  <si>
    <t>NAD-87</t>
  </si>
  <si>
    <t>NGW-139</t>
  </si>
  <si>
    <t>NAD-80</t>
  </si>
  <si>
    <t>NGW-140</t>
  </si>
  <si>
    <t>LAW-33</t>
  </si>
  <si>
    <t>NGW-141</t>
  </si>
  <si>
    <t>TUM-47</t>
  </si>
  <si>
    <t>NGW-142</t>
  </si>
  <si>
    <t>NAN-79</t>
  </si>
  <si>
    <t>NGW-143</t>
  </si>
  <si>
    <t>LAW-92</t>
  </si>
  <si>
    <t>NGW-144</t>
  </si>
  <si>
    <t>LAW-43</t>
  </si>
  <si>
    <t>NGW-145</t>
  </si>
  <si>
    <t>NAD-74</t>
  </si>
  <si>
    <t>NGW-146</t>
  </si>
  <si>
    <t>NAD-70</t>
  </si>
  <si>
    <t>NGW-147</t>
  </si>
  <si>
    <t>TUM-31</t>
  </si>
  <si>
    <t>NGW-148</t>
  </si>
  <si>
    <t>NAN-35</t>
  </si>
  <si>
    <t>NGW-149</t>
  </si>
  <si>
    <t>NAD-78</t>
  </si>
  <si>
    <t>NGW-150</t>
  </si>
  <si>
    <t>DAF-27</t>
  </si>
  <si>
    <t>NGW-151</t>
  </si>
  <si>
    <t>TUM-40</t>
  </si>
  <si>
    <t>NGW-152</t>
  </si>
  <si>
    <t>NGW-153</t>
  </si>
  <si>
    <t>DAF-40</t>
  </si>
  <si>
    <t>NGW-154</t>
  </si>
  <si>
    <t>NAD-07</t>
  </si>
  <si>
    <t>NGW-155</t>
  </si>
  <si>
    <t>WA-88</t>
  </si>
  <si>
    <t>NGW-156</t>
  </si>
  <si>
    <t>Jirapa</t>
  </si>
  <si>
    <t>JIR-99</t>
  </si>
  <si>
    <t>NGW-157</t>
  </si>
  <si>
    <t>WA-04</t>
  </si>
  <si>
    <t>NGW-158</t>
  </si>
  <si>
    <t>LAM-56</t>
  </si>
  <si>
    <t>NGW-159</t>
  </si>
  <si>
    <t>LAM-53</t>
  </si>
  <si>
    <t>NGW-160</t>
  </si>
  <si>
    <t>TUM-16</t>
  </si>
  <si>
    <t>Sample_ID</t>
  </si>
  <si>
    <t>Season</t>
  </si>
  <si>
    <t>Sampling_Date</t>
  </si>
  <si>
    <t>pH</t>
  </si>
  <si>
    <t>EC_uS_cm</t>
  </si>
  <si>
    <t>TDS_mg_L</t>
  </si>
  <si>
    <t>Temperature_C</t>
  </si>
  <si>
    <t>Ca_mg_L</t>
  </si>
  <si>
    <t>Mg_mg_L</t>
  </si>
  <si>
    <t>Na_mg_L</t>
  </si>
  <si>
    <t>K_mg_L</t>
  </si>
  <si>
    <t>HCO3_mg_L</t>
  </si>
  <si>
    <t>Cl_mg_L</t>
  </si>
  <si>
    <t>SO4_mg_L</t>
  </si>
  <si>
    <t>NO3_mg_L</t>
  </si>
  <si>
    <t>F_mg_L</t>
  </si>
  <si>
    <t>d18O_permil</t>
  </si>
  <si>
    <t>d2H_permil</t>
  </si>
  <si>
    <t>Sr_mg_L</t>
  </si>
  <si>
    <t>SiO2_mg_L</t>
  </si>
  <si>
    <t>Calcite_SI</t>
  </si>
  <si>
    <t>Dolomite_SI</t>
  </si>
  <si>
    <t>Gypsum_SI</t>
  </si>
  <si>
    <t>Halite_SI</t>
  </si>
  <si>
    <t>Cation_meq_L</t>
  </si>
  <si>
    <t>Anion_meq_L</t>
  </si>
  <si>
    <t>Charge_Balance_Error_pct</t>
  </si>
  <si>
    <t>SAR</t>
  </si>
  <si>
    <t>Na_percent</t>
  </si>
  <si>
    <t>Hydrochemical_Facies</t>
  </si>
  <si>
    <t>Data_Class</t>
  </si>
  <si>
    <t>NGS-0001</t>
  </si>
  <si>
    <t>Wet</t>
  </si>
  <si>
    <t>2026-08-15</t>
  </si>
  <si>
    <t>Ca–HCO3</t>
  </si>
  <si>
    <t>Quantitative inverse modelling</t>
  </si>
  <si>
    <t>No issue</t>
  </si>
  <si>
    <t>NGS-0002</t>
  </si>
  <si>
    <t>Dry</t>
  </si>
  <si>
    <t>2026-03-08</t>
  </si>
  <si>
    <t>Na+K–Ca–HCO3</t>
  </si>
  <si>
    <t>NGS-0003</t>
  </si>
  <si>
    <t>2026-08-21</t>
  </si>
  <si>
    <t>NGS-0004</t>
  </si>
  <si>
    <t>2026-03-09</t>
  </si>
  <si>
    <t>Ca–Na+K–HCO3</t>
  </si>
  <si>
    <t>NGS-0005</t>
  </si>
  <si>
    <t>2026-08-22</t>
  </si>
  <si>
    <t>Cation exchange / Na enrichment</t>
  </si>
  <si>
    <t>NGS-0006</t>
  </si>
  <si>
    <t>2026-03-23</t>
  </si>
  <si>
    <t>NGS-0007</t>
  </si>
  <si>
    <t>2026-08-08</t>
  </si>
  <si>
    <t>NGS-0008</t>
  </si>
  <si>
    <t>Agro-domestic nitrate loading</t>
  </si>
  <si>
    <t>NGS-0009</t>
  </si>
  <si>
    <t>2026-08-24</t>
  </si>
  <si>
    <t>NGS-0010</t>
  </si>
  <si>
    <t>2026-03-18</t>
  </si>
  <si>
    <t>NGS-0011</t>
  </si>
  <si>
    <t>2026-08-23</t>
  </si>
  <si>
    <t>NGS-0012</t>
  </si>
  <si>
    <t>NGS-0013</t>
  </si>
  <si>
    <t>2026-08-20</t>
  </si>
  <si>
    <t>Exploratory only — CBE &gt; ±10%</t>
  </si>
  <si>
    <t>CBE &gt; ±10%; exclude from quantitative inverse modelling</t>
  </si>
  <si>
    <t>NGS-0014</t>
  </si>
  <si>
    <t>NGS-0015</t>
  </si>
  <si>
    <t>2026-08-06</t>
  </si>
  <si>
    <t>Na+K–HCO3</t>
  </si>
  <si>
    <t>NGS-0016</t>
  </si>
  <si>
    <t>NGS-0017</t>
  </si>
  <si>
    <t>2026-08-11</t>
  </si>
  <si>
    <t>NGS-0018</t>
  </si>
  <si>
    <t>2026-03-11</t>
  </si>
  <si>
    <t>NGS-0019</t>
  </si>
  <si>
    <t>NGS-0020</t>
  </si>
  <si>
    <t>2026-03-19</t>
  </si>
  <si>
    <t>NGS-0021</t>
  </si>
  <si>
    <t>NGS-0022</t>
  </si>
  <si>
    <t>2026-03-13</t>
  </si>
  <si>
    <t>NGS-0023</t>
  </si>
  <si>
    <t>NGS-0024</t>
  </si>
  <si>
    <t>2026-03-07</t>
  </si>
  <si>
    <t>NGS-0025</t>
  </si>
  <si>
    <t>NGS-0026</t>
  </si>
  <si>
    <t>NGS-0027</t>
  </si>
  <si>
    <t>2026-08-16</t>
  </si>
  <si>
    <t>NGS-0028</t>
  </si>
  <si>
    <t>2026-03-10</t>
  </si>
  <si>
    <t>Screening only — CBE between ±5% and ±10%</t>
  </si>
  <si>
    <t>CBE between ±5% and ±10%; use with caution</t>
  </si>
  <si>
    <t>NGS-0029</t>
  </si>
  <si>
    <t>NGS-0030</t>
  </si>
  <si>
    <t>2026-03-24</t>
  </si>
  <si>
    <t>NGS-0031</t>
  </si>
  <si>
    <t>2026-08-07</t>
  </si>
  <si>
    <t>NGS-0032</t>
  </si>
  <si>
    <t>NGS-0033</t>
  </si>
  <si>
    <t>2026-08-05</t>
  </si>
  <si>
    <t>NGS-0034</t>
  </si>
  <si>
    <t>2026-03-14</t>
  </si>
  <si>
    <t>NGS-0035</t>
  </si>
  <si>
    <t>NGS-0036</t>
  </si>
  <si>
    <t>NGS-0037</t>
  </si>
  <si>
    <t>NGS-0038</t>
  </si>
  <si>
    <t>NGS-0039</t>
  </si>
  <si>
    <t>NGS-0040</t>
  </si>
  <si>
    <t>2026-03-06</t>
  </si>
  <si>
    <t>NGS-0041</t>
  </si>
  <si>
    <t>NGS-0042</t>
  </si>
  <si>
    <t>2026-03-16</t>
  </si>
  <si>
    <t>NGS-0043</t>
  </si>
  <si>
    <t>2026-08-13</t>
  </si>
  <si>
    <t>NGS-0044</t>
  </si>
  <si>
    <t>NGS-0045</t>
  </si>
  <si>
    <t>NGS-0046</t>
  </si>
  <si>
    <t>NGS-0047</t>
  </si>
  <si>
    <t>2026-08-09</t>
  </si>
  <si>
    <t>NGS-0048</t>
  </si>
  <si>
    <t>2026-03-17</t>
  </si>
  <si>
    <t>NGS-0049</t>
  </si>
  <si>
    <t>NGS-0050</t>
  </si>
  <si>
    <t>NGS-0051</t>
  </si>
  <si>
    <t>NGS-0052</t>
  </si>
  <si>
    <t>NGS-0053</t>
  </si>
  <si>
    <t>NGS-0054</t>
  </si>
  <si>
    <t>NGS-0055</t>
  </si>
  <si>
    <t>NGS-0056</t>
  </si>
  <si>
    <t>NGS-0057</t>
  </si>
  <si>
    <t>NGS-0058</t>
  </si>
  <si>
    <t>NGS-0059</t>
  </si>
  <si>
    <t>NGS-0060</t>
  </si>
  <si>
    <t>NGS-0061</t>
  </si>
  <si>
    <t>2026-08-17</t>
  </si>
  <si>
    <t>NGS-0062</t>
  </si>
  <si>
    <t>2026-03-21</t>
  </si>
  <si>
    <t>NGS-0063</t>
  </si>
  <si>
    <t>NGS-0064</t>
  </si>
  <si>
    <t>NGS-0065</t>
  </si>
  <si>
    <t>NGS-0066</t>
  </si>
  <si>
    <t>NGS-0067</t>
  </si>
  <si>
    <t>NGS-0068</t>
  </si>
  <si>
    <t>NGS-0069</t>
  </si>
  <si>
    <t>NGS-0070</t>
  </si>
  <si>
    <t>2026-03-12</t>
  </si>
  <si>
    <t>NGS-0071</t>
  </si>
  <si>
    <t>NGS-0072</t>
  </si>
  <si>
    <t>NGS-0073</t>
  </si>
  <si>
    <t>NGS-0074</t>
  </si>
  <si>
    <t>NGS-0075</t>
  </si>
  <si>
    <t>NGS-0076</t>
  </si>
  <si>
    <t>2026-03-20</t>
  </si>
  <si>
    <t>NGS-0077</t>
  </si>
  <si>
    <t>Na+K–Ca–HCO3–Cl</t>
  </si>
  <si>
    <t>NGS-0078</t>
  </si>
  <si>
    <t>Ca–Na+K–HCO3–Cl</t>
  </si>
  <si>
    <t>NGS-0079</t>
  </si>
  <si>
    <t>NGS-0080</t>
  </si>
  <si>
    <t>2026-03-22</t>
  </si>
  <si>
    <t>NGS-0081</t>
  </si>
  <si>
    <t>NGS-0082</t>
  </si>
  <si>
    <t>NGS-0083</t>
  </si>
  <si>
    <t>NGS-0084</t>
  </si>
  <si>
    <t>NGS-0085</t>
  </si>
  <si>
    <t>NGS-0086</t>
  </si>
  <si>
    <t>NGS-0087</t>
  </si>
  <si>
    <t>NGS-0088</t>
  </si>
  <si>
    <t>NGS-0089</t>
  </si>
  <si>
    <t>2026-08-10</t>
  </si>
  <si>
    <t>NGS-0090</t>
  </si>
  <si>
    <t>NGS-0091</t>
  </si>
  <si>
    <t>NGS-0092</t>
  </si>
  <si>
    <t>NGS-0093</t>
  </si>
  <si>
    <t>NGS-0094</t>
  </si>
  <si>
    <t>NGS-0095</t>
  </si>
  <si>
    <t>2026-08-12</t>
  </si>
  <si>
    <t>NGS-0096</t>
  </si>
  <si>
    <t>NGS-0097</t>
  </si>
  <si>
    <t>NGS-0098</t>
  </si>
  <si>
    <t>Ca–Na+K–Cl–HCO3</t>
  </si>
  <si>
    <t>NGS-0099</t>
  </si>
  <si>
    <t>NGS-0100</t>
  </si>
  <si>
    <t>NGS-0101</t>
  </si>
  <si>
    <t>NGS-0102</t>
  </si>
  <si>
    <t>Na+K–HCO3–Cl</t>
  </si>
  <si>
    <t>NGS-0103</t>
  </si>
  <si>
    <t>NGS-0104</t>
  </si>
  <si>
    <t>NGS-0105</t>
  </si>
  <si>
    <t>NGS-0106</t>
  </si>
  <si>
    <t>NGS-0107</t>
  </si>
  <si>
    <t>NGS-0108</t>
  </si>
  <si>
    <t>NGS-0109</t>
  </si>
  <si>
    <t>NGS-0110</t>
  </si>
  <si>
    <t>NGS-0111</t>
  </si>
  <si>
    <t>NGS-0112</t>
  </si>
  <si>
    <t>NGS-0113</t>
  </si>
  <si>
    <t>2026-08-18</t>
  </si>
  <si>
    <t>NGS-0114</t>
  </si>
  <si>
    <t>NGS-0115</t>
  </si>
  <si>
    <t>NGS-0116</t>
  </si>
  <si>
    <t>NGS-0117</t>
  </si>
  <si>
    <t>NGS-0118</t>
  </si>
  <si>
    <t>2026-03-15</t>
  </si>
  <si>
    <t>NGS-0119</t>
  </si>
  <si>
    <t>NGS-0120</t>
  </si>
  <si>
    <t>2026-03-05</t>
  </si>
  <si>
    <t>NGS-0121</t>
  </si>
  <si>
    <t>NGS-0122</t>
  </si>
  <si>
    <t>NGS-0123</t>
  </si>
  <si>
    <t>2026-08-14</t>
  </si>
  <si>
    <t>NGS-0124</t>
  </si>
  <si>
    <t>Na+K–Ca–Cl–HCO3</t>
  </si>
  <si>
    <t>NGS-0125</t>
  </si>
  <si>
    <t>2026-08-19</t>
  </si>
  <si>
    <t>NGS-0126</t>
  </si>
  <si>
    <t>NGS-0127</t>
  </si>
  <si>
    <t>NGS-0128</t>
  </si>
  <si>
    <t>NGS-0129</t>
  </si>
  <si>
    <t>NGS-0130</t>
  </si>
  <si>
    <t>NGS-0131</t>
  </si>
  <si>
    <t>Ca–HCO3–Cl</t>
  </si>
  <si>
    <t>NGS-0132</t>
  </si>
  <si>
    <t>NGS-0133</t>
  </si>
  <si>
    <t>NGS-0134</t>
  </si>
  <si>
    <t>NGS-0135</t>
  </si>
  <si>
    <t>NGS-0136</t>
  </si>
  <si>
    <t>NGS-0137</t>
  </si>
  <si>
    <t>NGS-0138</t>
  </si>
  <si>
    <t>NGS-0139</t>
  </si>
  <si>
    <t>NGS-0140</t>
  </si>
  <si>
    <t>NGS-0141</t>
  </si>
  <si>
    <t>NGS-0142</t>
  </si>
  <si>
    <t>NGS-0143</t>
  </si>
  <si>
    <t>NGS-0144</t>
  </si>
  <si>
    <t>NGS-0145</t>
  </si>
  <si>
    <t>NGS-0146</t>
  </si>
  <si>
    <t>NGS-0147</t>
  </si>
  <si>
    <t>NGS-0148</t>
  </si>
  <si>
    <t>NGS-0149</t>
  </si>
  <si>
    <t>NGS-0150</t>
  </si>
  <si>
    <t>NGS-0151</t>
  </si>
  <si>
    <t>NGS-0152</t>
  </si>
  <si>
    <t>NGS-0153</t>
  </si>
  <si>
    <t>NGS-0154</t>
  </si>
  <si>
    <t>NGS-0155</t>
  </si>
  <si>
    <t>NGS-0156</t>
  </si>
  <si>
    <t>NGS-0157</t>
  </si>
  <si>
    <t>NGS-0158</t>
  </si>
  <si>
    <t>NGS-0159</t>
  </si>
  <si>
    <t>NGS-0160</t>
  </si>
  <si>
    <t>NGS-0161</t>
  </si>
  <si>
    <t>NGS-0162</t>
  </si>
  <si>
    <t>NGS-0163</t>
  </si>
  <si>
    <t>NGS-0164</t>
  </si>
  <si>
    <t>NGS-0165</t>
  </si>
  <si>
    <t>NGS-0166</t>
  </si>
  <si>
    <t>NGS-0167</t>
  </si>
  <si>
    <t>NGS-0168</t>
  </si>
  <si>
    <t>NGS-0169</t>
  </si>
  <si>
    <t>NGS-0170</t>
  </si>
  <si>
    <t>NGS-0171</t>
  </si>
  <si>
    <t>NGS-0172</t>
  </si>
  <si>
    <t>NGS-0173</t>
  </si>
  <si>
    <t>NGS-0174</t>
  </si>
  <si>
    <t>NGS-0175</t>
  </si>
  <si>
    <t>NGS-0176</t>
  </si>
  <si>
    <t>NGS-0177</t>
  </si>
  <si>
    <t>NGS-0178</t>
  </si>
  <si>
    <t>NGS-0179</t>
  </si>
  <si>
    <t>NGS-0180</t>
  </si>
  <si>
    <t>NGS-0181</t>
  </si>
  <si>
    <t>NGS-0182</t>
  </si>
  <si>
    <t>NGS-0183</t>
  </si>
  <si>
    <t>NGS-0184</t>
  </si>
  <si>
    <t>NGS-0185</t>
  </si>
  <si>
    <t>NGS-0186</t>
  </si>
  <si>
    <t>NGS-0187</t>
  </si>
  <si>
    <t>NGS-0188</t>
  </si>
  <si>
    <t>NGS-0189</t>
  </si>
  <si>
    <t>NGS-0190</t>
  </si>
  <si>
    <t>Evapoconcentration and salinity evolution</t>
  </si>
  <si>
    <t>NGS-0191</t>
  </si>
  <si>
    <t>NGS-0192</t>
  </si>
  <si>
    <t>Ca–Cl–HCO3</t>
  </si>
  <si>
    <t>NGS-0193</t>
  </si>
  <si>
    <t>NGS-0194</t>
  </si>
  <si>
    <t>NGS-0195</t>
  </si>
  <si>
    <t>NGS-0196</t>
  </si>
  <si>
    <t>NGS-0197</t>
  </si>
  <si>
    <t>NGS-0198</t>
  </si>
  <si>
    <t>NGS-0199</t>
  </si>
  <si>
    <t>NGS-0200</t>
  </si>
  <si>
    <t>NGS-0201</t>
  </si>
  <si>
    <t>NGS-0202</t>
  </si>
  <si>
    <t>NGS-0203</t>
  </si>
  <si>
    <t>NGS-0204</t>
  </si>
  <si>
    <t>NGS-0205</t>
  </si>
  <si>
    <t>NGS-0206</t>
  </si>
  <si>
    <t>NGS-0207</t>
  </si>
  <si>
    <t>NGS-0208</t>
  </si>
  <si>
    <t>NGS-0209</t>
  </si>
  <si>
    <t>NGS-0210</t>
  </si>
  <si>
    <t>NGS-0211</t>
  </si>
  <si>
    <t>NGS-0212</t>
  </si>
  <si>
    <t>NGS-0213</t>
  </si>
  <si>
    <t>NGS-0214</t>
  </si>
  <si>
    <t>NGS-0215</t>
  </si>
  <si>
    <t>NGS-0216</t>
  </si>
  <si>
    <t>NGS-0217</t>
  </si>
  <si>
    <t>NGS-0218</t>
  </si>
  <si>
    <t>Na+K–Cl–HCO3</t>
  </si>
  <si>
    <t>NGS-0219</t>
  </si>
  <si>
    <t>NGS-0220</t>
  </si>
  <si>
    <t>NGS-0221</t>
  </si>
  <si>
    <t>NGS-0222</t>
  </si>
  <si>
    <t>NGS-0223</t>
  </si>
  <si>
    <t>NGS-0224</t>
  </si>
  <si>
    <t>NGS-0225</t>
  </si>
  <si>
    <t>NGS-0226</t>
  </si>
  <si>
    <t>NGS-0227</t>
  </si>
  <si>
    <t>NGS-0228</t>
  </si>
  <si>
    <t>NGS-0229</t>
  </si>
  <si>
    <t>NGS-0230</t>
  </si>
  <si>
    <t>NGS-0231</t>
  </si>
  <si>
    <t>NGS-0232</t>
  </si>
  <si>
    <t>NGS-0233</t>
  </si>
  <si>
    <t>NGS-0234</t>
  </si>
  <si>
    <t>NGS-0235</t>
  </si>
  <si>
    <t>NGS-0236</t>
  </si>
  <si>
    <t>NGS-0237</t>
  </si>
  <si>
    <t>NGS-0238</t>
  </si>
  <si>
    <t>NGS-0239</t>
  </si>
  <si>
    <t>NGS-0240</t>
  </si>
  <si>
    <t>NGS-0241</t>
  </si>
  <si>
    <t>NGS-0242</t>
  </si>
  <si>
    <t>NGS-0243</t>
  </si>
  <si>
    <t>NGS-0244</t>
  </si>
  <si>
    <t>NGS-0245</t>
  </si>
  <si>
    <t>NGS-0246</t>
  </si>
  <si>
    <t>NGS-0247</t>
  </si>
  <si>
    <t>NGS-0248</t>
  </si>
  <si>
    <t>NGS-0249</t>
  </si>
  <si>
    <t>NGS-0250</t>
  </si>
  <si>
    <t>NGS-0251</t>
  </si>
  <si>
    <t>NGS-0252</t>
  </si>
  <si>
    <t>NGS-0253</t>
  </si>
  <si>
    <t>NGS-0254</t>
  </si>
  <si>
    <t>NGS-0255</t>
  </si>
  <si>
    <t>NGS-0256</t>
  </si>
  <si>
    <t>NGS-0257</t>
  </si>
  <si>
    <t>NGS-0258</t>
  </si>
  <si>
    <t>NGS-0259</t>
  </si>
  <si>
    <t>NGS-0260</t>
  </si>
  <si>
    <t>NGS-0261</t>
  </si>
  <si>
    <t>NGS-0262</t>
  </si>
  <si>
    <t>NGS-0263</t>
  </si>
  <si>
    <t>NGS-0264</t>
  </si>
  <si>
    <t>NGS-0265</t>
  </si>
  <si>
    <t>NGS-0266</t>
  </si>
  <si>
    <t>NGS-0267</t>
  </si>
  <si>
    <t>NGS-0268</t>
  </si>
  <si>
    <t>NGS-0269</t>
  </si>
  <si>
    <t>NGS-0270</t>
  </si>
  <si>
    <t>NGS-0271</t>
  </si>
  <si>
    <t>NGS-0272</t>
  </si>
  <si>
    <t>NGS-0273</t>
  </si>
  <si>
    <t>NGS-0274</t>
  </si>
  <si>
    <t>NGS-0275</t>
  </si>
  <si>
    <t>NGS-0276</t>
  </si>
  <si>
    <t>NGS-0277</t>
  </si>
  <si>
    <t>NGS-0278</t>
  </si>
  <si>
    <t>NGS-0279</t>
  </si>
  <si>
    <t>NGS-0280</t>
  </si>
  <si>
    <t>NGS-0281</t>
  </si>
  <si>
    <t>NGS-0282</t>
  </si>
  <si>
    <t>NGS-0283</t>
  </si>
  <si>
    <t>NGS-0284</t>
  </si>
  <si>
    <t>NGS-0285</t>
  </si>
  <si>
    <t>NGS-0286</t>
  </si>
  <si>
    <t>NGS-0287</t>
  </si>
  <si>
    <t>NGS-0288</t>
  </si>
  <si>
    <t>NGS-0289</t>
  </si>
  <si>
    <t>NGS-0290</t>
  </si>
  <si>
    <t>NGS-0291</t>
  </si>
  <si>
    <t>NGS-0292</t>
  </si>
  <si>
    <t>NGS-0293</t>
  </si>
  <si>
    <t>NGS-0294</t>
  </si>
  <si>
    <t>NGS-0295</t>
  </si>
  <si>
    <t>NGS-0296</t>
  </si>
  <si>
    <t>NGS-0297</t>
  </si>
  <si>
    <t>NGS-0298</t>
  </si>
  <si>
    <t>NGS-0299</t>
  </si>
  <si>
    <t>NGS-0300</t>
  </si>
  <si>
    <t>NGS-0301</t>
  </si>
  <si>
    <t>NGS-0302</t>
  </si>
  <si>
    <t>NGS-0303</t>
  </si>
  <si>
    <t>NGS-0304</t>
  </si>
  <si>
    <t>NGS-0305</t>
  </si>
  <si>
    <t>NGS-0306</t>
  </si>
  <si>
    <t>NGS-0307</t>
  </si>
  <si>
    <t>NGS-0308</t>
  </si>
  <si>
    <t>NGS-0309</t>
  </si>
  <si>
    <t>NGS-0310</t>
  </si>
  <si>
    <t>NGS-0311</t>
  </si>
  <si>
    <t>NGS-0312</t>
  </si>
  <si>
    <t>NGS-0313</t>
  </si>
  <si>
    <t>NGS-0314</t>
  </si>
  <si>
    <t>NGS-0315</t>
  </si>
  <si>
    <t>NGS-0316</t>
  </si>
  <si>
    <t>NGS-0317</t>
  </si>
  <si>
    <t>NGS-0318</t>
  </si>
  <si>
    <t>NGS-0319</t>
  </si>
  <si>
    <t>NGS-0320</t>
  </si>
  <si>
    <t>Year</t>
  </si>
  <si>
    <t>Rainfall_mm</t>
  </si>
  <si>
    <t>Rainfall_Anomaly_pct</t>
  </si>
  <si>
    <t>Mean_Temp_C</t>
  </si>
  <si>
    <t>PET_mm</t>
  </si>
  <si>
    <t>Aridity_Index_P_over_PET</t>
  </si>
  <si>
    <t>SPEI_12mo</t>
  </si>
  <si>
    <t>NDVI</t>
  </si>
  <si>
    <t>Recharge_Proxy_mm</t>
  </si>
  <si>
    <t>Drought_Class</t>
  </si>
  <si>
    <t>Near normal</t>
  </si>
  <si>
    <t>Moderate dry</t>
  </si>
  <si>
    <t>Severe dry</t>
  </si>
  <si>
    <t>Source_Well_ID</t>
  </si>
  <si>
    <t>Target_Well_ID</t>
  </si>
  <si>
    <t>Edge_Type</t>
  </si>
  <si>
    <t>Distance_km</t>
  </si>
  <si>
    <t>Hydrochemical_Similarity_0_1</t>
  </si>
  <si>
    <t>Climate_Geology_Weight_0_1</t>
  </si>
  <si>
    <t>Flowpath_Plausibility_0_1</t>
  </si>
  <si>
    <t>Composite_Graph_Weight_0_1</t>
  </si>
  <si>
    <t>Shared_Aquifer</t>
  </si>
  <si>
    <t>Expected_Process_Link</t>
  </si>
  <si>
    <t>Direction_Basis</t>
  </si>
  <si>
    <t>local-flow / shared-aquifer</t>
  </si>
  <si>
    <t>Yes</t>
  </si>
  <si>
    <t>Anthropogenic nitrate gradient</t>
  </si>
  <si>
    <t>NGW-014→NGW-001</t>
  </si>
  <si>
    <t>NGW-011→NGW-001</t>
  </si>
  <si>
    <t>NGW-036→NGW-001</t>
  </si>
  <si>
    <t>regional-geologic continuity</t>
  </si>
  <si>
    <t>NGW-021→NGW-001</t>
  </si>
  <si>
    <t>Mixed water–rock interaction transition</t>
  </si>
  <si>
    <t>NGW-020→NGW-002</t>
  </si>
  <si>
    <t>NGW-011→NGW-002</t>
  </si>
  <si>
    <t>NGW-036→NGW-002</t>
  </si>
  <si>
    <t>NGW-002→NGW-001</t>
  </si>
  <si>
    <t>NGW-015→NGW-003</t>
  </si>
  <si>
    <t>NGW-122→NGW-003</t>
  </si>
  <si>
    <t>NGW-017→NGW-003</t>
  </si>
  <si>
    <t>cross-boundary transition edge</t>
  </si>
  <si>
    <t>No</t>
  </si>
  <si>
    <t>NGW-125→NGW-003</t>
  </si>
  <si>
    <t>NGW-005→NGW-004</t>
  </si>
  <si>
    <t>NGW-038→NGW-004</t>
  </si>
  <si>
    <t>NGW-035→NGW-004</t>
  </si>
  <si>
    <t>climate-analog process edge</t>
  </si>
  <si>
    <t>NGW-023→NGW-004</t>
  </si>
  <si>
    <t>NGW-038→NGW-005</t>
  </si>
  <si>
    <t>NGW-023→NGW-005</t>
  </si>
  <si>
    <t>NGW-035→NGW-005</t>
  </si>
  <si>
    <t>NGW-032→NGW-006</t>
  </si>
  <si>
    <t>NGW-006→NGW-030</t>
  </si>
  <si>
    <t>NGW-025→NGW-006</t>
  </si>
  <si>
    <t>NGW-039→NGW-006</t>
  </si>
  <si>
    <t>NGW-007→NGW-037</t>
  </si>
  <si>
    <t>NGW-007→NGW-022</t>
  </si>
  <si>
    <t>NGW-007→NGW-019</t>
  </si>
  <si>
    <t>NGW-007→NGW-051</t>
  </si>
  <si>
    <t>NGW-008→NGW-010</t>
  </si>
  <si>
    <t>NGW-008→NGW-027</t>
  </si>
  <si>
    <t>NGW-008→NGW-016</t>
  </si>
  <si>
    <t>Salinity evolution gradient</t>
  </si>
  <si>
    <t>NGW-008→NGW-098</t>
  </si>
  <si>
    <t>NGW-019→NGW-009</t>
  </si>
  <si>
    <t>NGW-034→NGW-009</t>
  </si>
  <si>
    <t>NGW-067→NGW-009</t>
  </si>
  <si>
    <t>NGW-013→NGW-009</t>
  </si>
  <si>
    <t>NGW-027→NGW-010</t>
  </si>
  <si>
    <t>NGW-016→NGW-010</t>
  </si>
  <si>
    <t>NGW-098→NGW-010</t>
  </si>
  <si>
    <t>NGW-011→NGW-036</t>
  </si>
  <si>
    <t>NGW-011→NGW-020</t>
  </si>
  <si>
    <t>NGW-011→NGW-014</t>
  </si>
  <si>
    <t>NGW-012→NGW-028</t>
  </si>
  <si>
    <t>NGW-029→NGW-012</t>
  </si>
  <si>
    <t>NGW-034→NGW-012</t>
  </si>
  <si>
    <t>NGW-019→NGW-012</t>
  </si>
  <si>
    <t>NGW-013→NGW-031</t>
  </si>
  <si>
    <t>NGW-013→NGW-018</t>
  </si>
  <si>
    <t>NGW-013→NGW-016</t>
  </si>
  <si>
    <t>NGW-037→NGW-013</t>
  </si>
  <si>
    <t>NGW-021→NGW-014</t>
  </si>
  <si>
    <t>NGW-014→NGW-036</t>
  </si>
  <si>
    <t>NGW-015→NGW-017</t>
  </si>
  <si>
    <t>NGW-015→NGW-134</t>
  </si>
  <si>
    <t>NGW-015→NGW-126</t>
  </si>
  <si>
    <t>NGW-016→NGW-018</t>
  </si>
  <si>
    <t>NGW-016→NGW-031</t>
  </si>
  <si>
    <t>NGW-065→NGW-016</t>
  </si>
  <si>
    <t>NGW-017→NGW-134</t>
  </si>
  <si>
    <t>NGW-017→NGW-127</t>
  </si>
  <si>
    <t>NGW-018→NGW-031</t>
  </si>
  <si>
    <t>NGW-034→NGW-018</t>
  </si>
  <si>
    <t>NGW-037→NGW-019</t>
  </si>
  <si>
    <t>NGW-013→NGW-019</t>
  </si>
  <si>
    <t>NGW-019→NGW-018</t>
  </si>
  <si>
    <t>NGW-020→NGW-036</t>
  </si>
  <si>
    <t>NGW-020→NGW-001</t>
  </si>
  <si>
    <t>NGW-021→NGW-033</t>
  </si>
  <si>
    <t>NGW-011→NGW-021</t>
  </si>
  <si>
    <t>NGW-022→NGW-073</t>
  </si>
  <si>
    <t>NGW-022→NGW-009</t>
  </si>
  <si>
    <t>NGW-022→NGW-037</t>
  </si>
  <si>
    <t>NGW-038→NGW-023</t>
  </si>
  <si>
    <t>NGW-035→NGW-023</t>
  </si>
  <si>
    <t>NGW-023→NGW-028</t>
  </si>
  <si>
    <t>NGW-024→NGW-026</t>
  </si>
  <si>
    <t>NGW-017→NGW-024</t>
  </si>
  <si>
    <t>NGW-024→NGW-142</t>
  </si>
  <si>
    <t>NGW-024→NGW-135</t>
  </si>
  <si>
    <t>NGW-025→NGW-039</t>
  </si>
  <si>
    <t>NGW-032→NGW-025</t>
  </si>
  <si>
    <t>NGW-025→NGW-030</t>
  </si>
  <si>
    <t>NGW-033→NGW-026</t>
  </si>
  <si>
    <t>NGW-014→NGW-026</t>
  </si>
  <si>
    <t>NGW-026→NGW-001</t>
  </si>
  <si>
    <t>NGW-027→NGW-016</t>
  </si>
  <si>
    <t>NGW-027→NGW-098</t>
  </si>
  <si>
    <t>NGW-029→NGW-028</t>
  </si>
  <si>
    <t>NGW-035→NGW-028</t>
  </si>
  <si>
    <t>NGW-034→NGW-028</t>
  </si>
  <si>
    <t>NGW-029→NGW-040</t>
  </si>
  <si>
    <t>NGW-029→NGW-035</t>
  </si>
  <si>
    <t>NGW-032→NGW-030</t>
  </si>
  <si>
    <t>NGW-007→NGW-030</t>
  </si>
  <si>
    <t>NGW-037→NGW-030</t>
  </si>
  <si>
    <t>NGW-037→NGW-031</t>
  </si>
  <si>
    <t>NGW-032→NGW-039</t>
  </si>
  <si>
    <t>NGW-033→NGW-014</t>
  </si>
  <si>
    <t>NGW-033→NGW-001</t>
  </si>
  <si>
    <t>NGW-033→NGW-036</t>
  </si>
  <si>
    <t>NGW-034→NGW-074</t>
  </si>
  <si>
    <t>NGW-034→NGW-019</t>
  </si>
  <si>
    <t>NGW-038→NGW-035</t>
  </si>
  <si>
    <t>NGW-045→NGW-039</t>
  </si>
  <si>
    <t>NGW-041→NGW-039</t>
  </si>
  <si>
    <t>NGW-002→NGW-040</t>
  </si>
  <si>
    <t>NGW-035→NGW-040</t>
  </si>
  <si>
    <t>NGW-028→NGW-040</t>
  </si>
  <si>
    <t>NGW-045→NGW-041</t>
  </si>
  <si>
    <t>NGW-041→NGW-061</t>
  </si>
  <si>
    <t>NGW-068→NGW-041</t>
  </si>
  <si>
    <t>NGW-056→NGW-042</t>
  </si>
  <si>
    <t>NGW-062→NGW-042</t>
  </si>
  <si>
    <t>NGW-042→NGW-073</t>
  </si>
  <si>
    <t>NGW-042→NGW-051</t>
  </si>
  <si>
    <t>NGW-066→NGW-043</t>
  </si>
  <si>
    <t>NGW-046→NGW-043</t>
  </si>
  <si>
    <t>NGW-048→NGW-043</t>
  </si>
  <si>
    <t>NGW-071→NGW-043</t>
  </si>
  <si>
    <t>NGW-044→NGW-049</t>
  </si>
  <si>
    <t>NGW-044→NGW-067</t>
  </si>
  <si>
    <t>NGW-044→NGW-052</t>
  </si>
  <si>
    <t>NGW-044→NGW-070</t>
  </si>
  <si>
    <t>NGW-045→NGW-061</t>
  </si>
  <si>
    <t>NGW-068→NGW-045</t>
  </si>
  <si>
    <t>NGW-066→NGW-046</t>
  </si>
  <si>
    <t>NGW-048→NGW-046</t>
  </si>
  <si>
    <t>NGW-046→NGW-057</t>
  </si>
  <si>
    <t>NGW-047→NGW-075</t>
  </si>
  <si>
    <t>NGW-047→NGW-063</t>
  </si>
  <si>
    <t>NGW-047→NGW-065</t>
  </si>
  <si>
    <t>NGW-047→NGW-053</t>
  </si>
  <si>
    <t>NGW-066→NGW-048</t>
  </si>
  <si>
    <t>NGW-048→NGW-059</t>
  </si>
  <si>
    <t>NGW-048→NGW-071</t>
  </si>
  <si>
    <t>NGW-049→NGW-050</t>
  </si>
  <si>
    <t>NGW-055→NGW-049</t>
  </si>
  <si>
    <t>NGW-049→NGW-042</t>
  </si>
  <si>
    <t>NGW-055→NGW-050</t>
  </si>
  <si>
    <t>NGW-050→NGW-060</t>
  </si>
  <si>
    <t>NGW-054→NGW-050</t>
  </si>
  <si>
    <t>NGW-065→NGW-050</t>
  </si>
  <si>
    <t>NGW-051→NGW-073</t>
  </si>
  <si>
    <t>NGW-044→NGW-051</t>
  </si>
  <si>
    <t>NGW-075→NGW-052</t>
  </si>
  <si>
    <t>NGW-052→NGW-065</t>
  </si>
  <si>
    <t>NGW-052→NGW-053</t>
  </si>
  <si>
    <t>NGW-053→NGW-074</t>
  </si>
  <si>
    <t>NGW-063→NGW-053</t>
  </si>
  <si>
    <t>NGW-065→NGW-053</t>
  </si>
  <si>
    <t>NGW-054→NGW-060</t>
  </si>
  <si>
    <t>NGW-055→NGW-054</t>
  </si>
  <si>
    <t>NGW-054→NGW-080</t>
  </si>
  <si>
    <t>NGW-055→NGW-060</t>
  </si>
  <si>
    <t>NGW-055→NGW-065</t>
  </si>
  <si>
    <t>NGW-056→NGW-080</t>
  </si>
  <si>
    <t>NGW-054→NGW-056</t>
  </si>
  <si>
    <t>NGW-056→NGW-050</t>
  </si>
  <si>
    <t>NGW-078→NGW-057</t>
  </si>
  <si>
    <t>NGW-057→NGW-077</t>
  </si>
  <si>
    <t>NGW-057→NGW-059</t>
  </si>
  <si>
    <t>NGW-058→NGW-072</t>
  </si>
  <si>
    <t>NGW-084→NGW-058</t>
  </si>
  <si>
    <t>NGW-058→NGW-076</t>
  </si>
  <si>
    <t>NGW-116→NGW-058</t>
  </si>
  <si>
    <t>NGW-071→NGW-059</t>
  </si>
  <si>
    <t>NGW-059→NGW-060</t>
  </si>
  <si>
    <t>NGW-059→NGW-077</t>
  </si>
  <si>
    <t>NGW-065→NGW-060</t>
  </si>
  <si>
    <t>NGW-061→NGW-076</t>
  </si>
  <si>
    <t>NGW-068→NGW-061</t>
  </si>
  <si>
    <t>NGW-056→NGW-062</t>
  </si>
  <si>
    <t>NGW-045→NGW-062</t>
  </si>
  <si>
    <t>NGW-068→NGW-062</t>
  </si>
  <si>
    <t>NGW-063→NGW-074</t>
  </si>
  <si>
    <t>NGW-075→NGW-063</t>
  </si>
  <si>
    <t>NGW-064→NGW-079</t>
  </si>
  <si>
    <t>NGW-064→NGW-077</t>
  </si>
  <si>
    <t>NGW-064→NGW-072</t>
  </si>
  <si>
    <t>NGW-064→NGW-078</t>
  </si>
  <si>
    <t>NGW-066→NGW-057</t>
  </si>
  <si>
    <t>NGW-067→NGW-074</t>
  </si>
  <si>
    <t>NGW-067→NGW-070</t>
  </si>
  <si>
    <t>NGW-068→NGW-076</t>
  </si>
  <si>
    <t>NGW-069→NGW-073</t>
  </si>
  <si>
    <t>NGW-069→NGW-042</t>
  </si>
  <si>
    <t>NGW-069→NGW-051</t>
  </si>
  <si>
    <t>NGW-069→NGW-062</t>
  </si>
  <si>
    <t>NGW-074→NGW-070</t>
  </si>
  <si>
    <t>NGW-051→NGW-070</t>
  </si>
  <si>
    <t>NGW-071→NGW-060</t>
  </si>
  <si>
    <t>NGW-076→NGW-072</t>
  </si>
  <si>
    <t>NGW-061→NGW-072</t>
  </si>
  <si>
    <t>NGW-080→NGW-072</t>
  </si>
  <si>
    <t>NGW-044→NGW-074</t>
  </si>
  <si>
    <t>NGW-075→NGW-053</t>
  </si>
  <si>
    <t>NGW-045→NGW-076</t>
  </si>
  <si>
    <t>NGW-078→NGW-077</t>
  </si>
  <si>
    <t>NGW-077→NGW-079</t>
  </si>
  <si>
    <t>NGW-078→NGW-079</t>
  </si>
  <si>
    <t>NGW-079→NGW-112</t>
  </si>
  <si>
    <t>NGW-080→NGW-060</t>
  </si>
  <si>
    <t>NGW-080→NGW-050</t>
  </si>
  <si>
    <t>NGW-116→NGW-081</t>
  </si>
  <si>
    <t>NGW-084→NGW-081</t>
  </si>
  <si>
    <t>NGW-108→NGW-081</t>
  </si>
  <si>
    <t>NGW-081→NGW-107</t>
  </si>
  <si>
    <t>NGW-082→NGW-111</t>
  </si>
  <si>
    <t>NGW-082→NGW-083</t>
  </si>
  <si>
    <t>NGW-082→NGW-097</t>
  </si>
  <si>
    <t>NGW-113→NGW-082</t>
  </si>
  <si>
    <t>NGW-083→NGW-111</t>
  </si>
  <si>
    <t>NGW-083→NGW-112</t>
  </si>
  <si>
    <t>NGW-114→NGW-083</t>
  </si>
  <si>
    <t>NGW-084→NGW-116</t>
  </si>
  <si>
    <t>NGW-101→NGW-084</t>
  </si>
  <si>
    <t>NGW-084→NGW-093</t>
  </si>
  <si>
    <t>NGW-115→NGW-085</t>
  </si>
  <si>
    <t>NGW-085→NGW-109</t>
  </si>
  <si>
    <t>NGW-086→NGW-085</t>
  </si>
  <si>
    <t>NGW-095→NGW-085</t>
  </si>
  <si>
    <t>NGW-086→NGW-115</t>
  </si>
  <si>
    <t>NGW-086→NGW-111</t>
  </si>
  <si>
    <t>NGW-086→NGW-109</t>
  </si>
  <si>
    <t>NGW-087→NGW-089</t>
  </si>
  <si>
    <t>NGW-087→NGW-093</t>
  </si>
  <si>
    <t>NGW-087→NGW-110</t>
  </si>
  <si>
    <t>NGW-108→NGW-087</t>
  </si>
  <si>
    <t>NGW-088→NGW-114</t>
  </si>
  <si>
    <t>NGW-088→NGW-091</t>
  </si>
  <si>
    <t>NGW-088→NGW-083</t>
  </si>
  <si>
    <t>NGW-088→NGW-092</t>
  </si>
  <si>
    <t>NGW-108→NGW-089</t>
  </si>
  <si>
    <t>NGW-101→NGW-089</t>
  </si>
  <si>
    <t>NGW-084→NGW-089</t>
  </si>
  <si>
    <t>NGW-094→NGW-090</t>
  </si>
  <si>
    <t>NGW-107→NGW-090</t>
  </si>
  <si>
    <t>NGW-100→NGW-090</t>
  </si>
  <si>
    <t>NGW-084→NGW-090</t>
  </si>
  <si>
    <t>NGW-091→NGW-114</t>
  </si>
  <si>
    <t>NGW-091→NGW-110</t>
  </si>
  <si>
    <t>NGW-104→NGW-091</t>
  </si>
  <si>
    <t>NGW-113→NGW-092</t>
  </si>
  <si>
    <t>NGW-097→NGW-092</t>
  </si>
  <si>
    <t>NGW-096→NGW-092</t>
  </si>
  <si>
    <t>NGW-093→NGW-090</t>
  </si>
  <si>
    <t>NGW-093→NGW-094</t>
  </si>
  <si>
    <t>NGW-093→NGW-107</t>
  </si>
  <si>
    <t>NGW-100→NGW-094</t>
  </si>
  <si>
    <t>NGW-101→NGW-094</t>
  </si>
  <si>
    <t>NGW-094→NGW-107</t>
  </si>
  <si>
    <t>NGW-095→NGW-102</t>
  </si>
  <si>
    <t>NGW-095→NGW-098</t>
  </si>
  <si>
    <t>NGW-095→NGW-115</t>
  </si>
  <si>
    <t>NGW-097→NGW-096</t>
  </si>
  <si>
    <t>NGW-113→NGW-096</t>
  </si>
  <si>
    <t>NGW-082→NGW-096</t>
  </si>
  <si>
    <t>NGW-097→NGW-112</t>
  </si>
  <si>
    <t>NGW-102→NGW-098</t>
  </si>
  <si>
    <t>NGW-115→NGW-098</t>
  </si>
  <si>
    <t>NGW-086→NGW-098</t>
  </si>
  <si>
    <t>NGW-119→NGW-099</t>
  </si>
  <si>
    <t>NGW-099→NGW-103</t>
  </si>
  <si>
    <t>NGW-099→NGW-107</t>
  </si>
  <si>
    <t>NGW-120→NGW-099</t>
  </si>
  <si>
    <t>NGW-101→NGW-100</t>
  </si>
  <si>
    <t>NGW-100→NGW-107</t>
  </si>
  <si>
    <t>NGW-085→NGW-102</t>
  </si>
  <si>
    <t>NGW-115→NGW-102</t>
  </si>
  <si>
    <t>NGW-119→NGW-103</t>
  </si>
  <si>
    <t>NGW-120→NGW-103</t>
  </si>
  <si>
    <t>NGW-103→NGW-107</t>
  </si>
  <si>
    <t>NGW-104→NGW-110</t>
  </si>
  <si>
    <t>NGW-104→NGW-090</t>
  </si>
  <si>
    <t>NGW-104→NGW-114</t>
  </si>
  <si>
    <t>NGW-105→NGW-083</t>
  </si>
  <si>
    <t>NGW-105→NGW-118</t>
  </si>
  <si>
    <t>NGW-105→NGW-111</t>
  </si>
  <si>
    <t>NGW-105→NGW-081</t>
  </si>
  <si>
    <t>NGW-106→NGW-117</t>
  </si>
  <si>
    <t>NGW-082→NGW-106</t>
  </si>
  <si>
    <t>NGW-113→NGW-106</t>
  </si>
  <si>
    <t>NGW-106→NGW-148</t>
  </si>
  <si>
    <t>NGW-116→NGW-107</t>
  </si>
  <si>
    <t>NGW-108→NGW-084</t>
  </si>
  <si>
    <t>NGW-108→NGW-110</t>
  </si>
  <si>
    <t>NGW-108→NGW-090</t>
  </si>
  <si>
    <t>NGW-109→NGW-111</t>
  </si>
  <si>
    <t>NGW-118→NGW-109</t>
  </si>
  <si>
    <t>NGW-109→NGW-112</t>
  </si>
  <si>
    <t>NGW-114→NGW-110</t>
  </si>
  <si>
    <t>NGW-111→NGW-112</t>
  </si>
  <si>
    <t>NGW-118→NGW-112</t>
  </si>
  <si>
    <t>NGW-113→NGW-097</t>
  </si>
  <si>
    <t>NGW-115→NGW-111</t>
  </si>
  <si>
    <t>NGW-082→NGW-115</t>
  </si>
  <si>
    <t>NGW-101→NGW-116</t>
  </si>
  <si>
    <t>NGW-113→NGW-117</t>
  </si>
  <si>
    <t>NGW-096→NGW-117</t>
  </si>
  <si>
    <t>NGW-092→NGW-117</t>
  </si>
  <si>
    <t>NGW-118→NGW-111</t>
  </si>
  <si>
    <t>NGW-120→NGW-119</t>
  </si>
  <si>
    <t>NGW-119→NGW-107</t>
  </si>
  <si>
    <t>NGW-120→NGW-107</t>
  </si>
  <si>
    <t>NGW-121→NGW-129</t>
  </si>
  <si>
    <t>NGW-121→NGW-158</t>
  </si>
  <si>
    <t>NGW-121→NGW-138</t>
  </si>
  <si>
    <t>NGW-121→NGW-151</t>
  </si>
  <si>
    <t>NGW-125→NGW-122</t>
  </si>
  <si>
    <t>NGW-122→NGW-145</t>
  </si>
  <si>
    <t>NGW-122→NGW-150</t>
  </si>
  <si>
    <t>NGW-126→NGW-122</t>
  </si>
  <si>
    <t>NGW-133→NGW-123</t>
  </si>
  <si>
    <t>NGW-153→NGW-123</t>
  </si>
  <si>
    <t>NGW-128→NGW-123</t>
  </si>
  <si>
    <t>NGW-144→NGW-123</t>
  </si>
  <si>
    <t>NGW-124→NGW-159</t>
  </si>
  <si>
    <t>NGW-131→NGW-124</t>
  </si>
  <si>
    <t>NGW-124→NGW-160</t>
  </si>
  <si>
    <t>NGW-150→NGW-124</t>
  </si>
  <si>
    <t>NGW-126→NGW-125</t>
  </si>
  <si>
    <t>NGW-125→NGW-127</t>
  </si>
  <si>
    <t>NGW-134→NGW-125</t>
  </si>
  <si>
    <t>NGW-126→NGW-127</t>
  </si>
  <si>
    <t>NGW-126→NGW-134</t>
  </si>
  <si>
    <t>NGW-130→NGW-127</t>
  </si>
  <si>
    <t>NGW-134→NGW-127</t>
  </si>
  <si>
    <t>NGW-133→NGW-128</t>
  </si>
  <si>
    <t>NGW-154→NGW-128</t>
  </si>
  <si>
    <t>NGW-144→NGW-128</t>
  </si>
  <si>
    <t>NGW-158→NGW-129</t>
  </si>
  <si>
    <t>NGW-129→NGW-149</t>
  </si>
  <si>
    <t>NGW-138→NGW-129</t>
  </si>
  <si>
    <t>NGW-134→NGW-130</t>
  </si>
  <si>
    <t>NGW-156→NGW-130</t>
  </si>
  <si>
    <t>NGW-130→NGW-135</t>
  </si>
  <si>
    <t>NGW-131→NGW-159</t>
  </si>
  <si>
    <t>NGW-131→NGW-150</t>
  </si>
  <si>
    <t>NGW-131→NGW-160</t>
  </si>
  <si>
    <t>NGW-132→NGW-145</t>
  </si>
  <si>
    <t>NGW-132→NGW-139</t>
  </si>
  <si>
    <t>NGW-132→NGW-152</t>
  </si>
  <si>
    <t>NGW-132→NGW-136</t>
  </si>
  <si>
    <t>NGW-154→NGW-133</t>
  </si>
  <si>
    <t>NGW-133→NGW-144</t>
  </si>
  <si>
    <t>NGW-135→NGW-155</t>
  </si>
  <si>
    <t>NGW-156→NGW-135</t>
  </si>
  <si>
    <t>NGW-135→NGW-142</t>
  </si>
  <si>
    <t>NGW-152→NGW-136</t>
  </si>
  <si>
    <t>NGW-136→NGW-145</t>
  </si>
  <si>
    <t>NGW-136→NGW-151</t>
  </si>
  <si>
    <t>NGW-136→NGW-158</t>
  </si>
  <si>
    <t>NGW-137→NGW-153</t>
  </si>
  <si>
    <t>NGW-143→NGW-137</t>
  </si>
  <si>
    <t>NGW-137→NGW-148</t>
  </si>
  <si>
    <t>NGW-137→NGW-149</t>
  </si>
  <si>
    <t>NGW-151→NGW-138</t>
  </si>
  <si>
    <t>NGW-158→NGW-138</t>
  </si>
  <si>
    <t>NGW-141→NGW-139</t>
  </si>
  <si>
    <t>NGW-139→NGW-145</t>
  </si>
  <si>
    <t>NGW-139→NGW-150</t>
  </si>
  <si>
    <t>NGW-131→NGW-139</t>
  </si>
  <si>
    <t>NGW-146→NGW-140</t>
  </si>
  <si>
    <t>NGW-140→NGW-155</t>
  </si>
  <si>
    <t>NGW-140→NGW-142</t>
  </si>
  <si>
    <t>NGW-140→NGW-135</t>
  </si>
  <si>
    <t>NGW-141→NGW-160</t>
  </si>
  <si>
    <t>NGW-141→NGW-131</t>
  </si>
  <si>
    <t>NGW-141→NGW-159</t>
  </si>
  <si>
    <t>NGW-146→NGW-142</t>
  </si>
  <si>
    <t>NGW-155→NGW-142</t>
  </si>
  <si>
    <t>NGW-143→NGW-148</t>
  </si>
  <si>
    <t>NGW-143→NGW-149</t>
  </si>
  <si>
    <t>NGW-143→NGW-153</t>
  </si>
  <si>
    <t>NGW-154→NGW-144</t>
  </si>
  <si>
    <t>NGW-144→NGW-153</t>
  </si>
  <si>
    <t>NGW-152→NGW-145</t>
  </si>
  <si>
    <t>NGW-146→NGW-155</t>
  </si>
  <si>
    <t>NGW-146→NGW-135</t>
  </si>
  <si>
    <t>NGW-152→NGW-147</t>
  </si>
  <si>
    <t>NGW-147→NGW-121</t>
  </si>
  <si>
    <t>NGW-147→NGW-138</t>
  </si>
  <si>
    <t>NGW-147→NGW-158</t>
  </si>
  <si>
    <t>NGW-148→NGW-153</t>
  </si>
  <si>
    <t>NGW-148→NGW-144</t>
  </si>
  <si>
    <t>NGW-158→NGW-149</t>
  </si>
  <si>
    <t>NGW-150→NGW-159</t>
  </si>
  <si>
    <t>NGW-158→NGW-151</t>
  </si>
  <si>
    <t>NGW-151→NGW-129</t>
  </si>
  <si>
    <t>NGW-152→NGW-138</t>
  </si>
  <si>
    <t>NGW-154→NGW-123</t>
  </si>
  <si>
    <t>NGW-156→NGW-155</t>
  </si>
  <si>
    <t>NGW-156→NGW-127</t>
  </si>
  <si>
    <t>NGW-157→NGW-160</t>
  </si>
  <si>
    <t>NGW-157→NGW-159</t>
  </si>
  <si>
    <t>NGW-157→NGW-150</t>
  </si>
  <si>
    <t>NGW-141→NGW-157</t>
  </si>
  <si>
    <t>NGW-160→NGW-159</t>
  </si>
  <si>
    <t>EC_z</t>
  </si>
  <si>
    <t>NO3_z</t>
  </si>
  <si>
    <t>F_z</t>
  </si>
  <si>
    <t>NaCl_molar_ratio</t>
  </si>
  <si>
    <t>HCO3_CaMg_meq_ratio</t>
  </si>
  <si>
    <t>Cl_HCO3_meq_ratio</t>
  </si>
  <si>
    <t>Evaporation_Score</t>
  </si>
  <si>
    <t>Silicate_Weathering_Score</t>
  </si>
  <si>
    <t>Carbonate_Weathering_Score</t>
  </si>
  <si>
    <t>Ion_Exchange_Score</t>
  </si>
  <si>
    <t>Anthropogenic_Nitrate_Score</t>
  </si>
  <si>
    <t>Fluoride_Mobilisation_Score</t>
  </si>
  <si>
    <t>Salinity_Evolution_Score</t>
  </si>
  <si>
    <t>Inferred_Aquifer_Evolution_State</t>
  </si>
  <si>
    <t>Aquifer_Evolution_Label</t>
  </si>
  <si>
    <t>Train_Test_Split</t>
  </si>
  <si>
    <t>Recharge-weathering pathway</t>
  </si>
  <si>
    <t>Recharge-weathering</t>
  </si>
  <si>
    <t>Test</t>
  </si>
  <si>
    <t>Train</t>
  </si>
  <si>
    <t>Anthropogenic nitrate pathway</t>
  </si>
  <si>
    <t>Anthropogenic nitrate</t>
  </si>
  <si>
    <t>Evaporative salinity pathway</t>
  </si>
  <si>
    <t>Evaporative salinity</t>
  </si>
  <si>
    <t>Ion-exchange transition pathway</t>
  </si>
  <si>
    <t>Ion-exchange transition</t>
  </si>
  <si>
    <t>Fluoride mobilisation pathway</t>
  </si>
  <si>
    <t>Fluoride mobilisation</t>
  </si>
  <si>
    <t>Sheet</t>
  </si>
  <si>
    <t>Field</t>
  </si>
  <si>
    <t>Unit / Type</t>
  </si>
  <si>
    <t>Description</t>
  </si>
  <si>
    <t>Wells_Nodes</t>
  </si>
  <si>
    <t>text</t>
  </si>
  <si>
    <t>Unique borehole identifier; each borehole is represented as a graph node.</t>
  </si>
  <si>
    <t>text/category</t>
  </si>
  <si>
    <t>Administrative region in northern Ghana.</t>
  </si>
  <si>
    <t>District where the borehole is located.</t>
  </si>
  <si>
    <t>text/code</t>
  </si>
  <si>
    <t>Anonymized or coded community identifier.</t>
  </si>
  <si>
    <t>decimal degrees; masked</t>
  </si>
  <si>
    <t>Spatially masked latitude used for regional-scale reproducibility; not the exact borehole coordinate.</t>
  </si>
  <si>
    <t>Spatially masked longitude used for regional-scale reproducibility; not the exact borehole coordinate.</t>
  </si>
  <si>
    <t>m</t>
  </si>
  <si>
    <t>Borehole elevation above mean sea level.</t>
  </si>
  <si>
    <t>Total borehole depth.</t>
  </si>
  <si>
    <t>Measured static water level below ground surface.</t>
  </si>
  <si>
    <t>category</t>
  </si>
  <si>
    <t>Conceptual aquifer class used to stratify Voltaian, Birimian, granitoid and regolith/alluvial systems.</t>
  </si>
  <si>
    <t>Regional geological group associated with the borehole.</t>
  </si>
  <si>
    <t>Dominant lithological description at or near the borehole.</t>
  </si>
  <si>
    <t>Dominant surrounding land-use class used for anthropogenic loading interpretation.</t>
  </si>
  <si>
    <t>km</t>
  </si>
  <si>
    <t>Distance from borehole to nearest mapped river or drainage feature.</t>
  </si>
  <si>
    <t>Distance from borehole to nearest mapped cultivated land or farm influence.</t>
  </si>
  <si>
    <t>Distance from borehole to nearest settlement influence.</t>
  </si>
  <si>
    <t>0–1 index</t>
  </si>
  <si>
    <t>Relative recharge-zone score; higher values represent stronger recharge-like setting.</t>
  </si>
  <si>
    <t>Relative aridification stress score; higher values indicate stronger dryland stress.</t>
  </si>
  <si>
    <t>Geogenic fluoride risk score based on aquifer, geology and hydrochemical context.</t>
  </si>
  <si>
    <t>Anthropogenic nitrate/pollution risk score based on land use and proximity indicators.</t>
  </si>
  <si>
    <t>Graph-based node role or process class in the aquifer network.</t>
  </si>
  <si>
    <t>text/QC flag</t>
  </si>
  <si>
    <t>Quality-control or documentation flag for coordinate masking, charge-balance screening or general use.</t>
  </si>
  <si>
    <t>Hydrochemistry_Seasonal</t>
  </si>
  <si>
    <t>Unique hydrochemical sample identifier linked to a borehole and sampling season.</t>
  </si>
  <si>
    <t>Sampling season, wet or dry.</t>
  </si>
  <si>
    <t>YYYY-MM-DD</t>
  </si>
  <si>
    <t>Sampling date converted to ISO format for clear reuse outside Excel.</t>
  </si>
  <si>
    <t>standard pH units</t>
  </si>
  <si>
    <t>Field or laboratory pH measurement.</t>
  </si>
  <si>
    <t>µS/cm</t>
  </si>
  <si>
    <t>Electrical conductivity used as a salinity/mineralization indicator.</t>
  </si>
  <si>
    <t>mg/L</t>
  </si>
  <si>
    <t>Total dissolved solids concentration.</t>
  </si>
  <si>
    <t>°C</t>
  </si>
  <si>
    <t>Groundwater temperature at sampling.</t>
  </si>
  <si>
    <t>Dissolved calcium concentration.</t>
  </si>
  <si>
    <t>Dissolved magnesium concentration.</t>
  </si>
  <si>
    <t>Dissolved sodium concentration.</t>
  </si>
  <si>
    <t>Dissolved potassium concentration.</t>
  </si>
  <si>
    <t>Bicarbonate concentration, typically calculated from alkalinity.</t>
  </si>
  <si>
    <t>Chloride concentration used for salinity, evaporation and nitrate co-enrichment interpretation.</t>
  </si>
  <si>
    <t>Sulfate concentration used for sulfate-mineral and evaporite process interpretation.</t>
  </si>
  <si>
    <t>Nitrate concentration used for anthropogenic contamination assessment.</t>
  </si>
  <si>
    <t>Fluoride concentration used for geogenic fluoride mobilisation assessment.</t>
  </si>
  <si>
    <t>‰ VSMOW</t>
  </si>
  <si>
    <t>Oxygen isotope tracer used to evaluate recharge and evaporation where available.</t>
  </si>
  <si>
    <t>Hydrogen isotope tracer used to evaluate recharge and evaporation where available.</t>
  </si>
  <si>
    <t>Strontium concentration used as a supporting water–rock interaction indicator.</t>
  </si>
  <si>
    <t>Dissolved silica concentration used as a silicate weathering indicator.</t>
  </si>
  <si>
    <t>saturation index</t>
  </si>
  <si>
    <t>PHREEQC saturation index for calcite.</t>
  </si>
  <si>
    <t>PHREEQC saturation index for dolomite.</t>
  </si>
  <si>
    <t>PHREEQC saturation index for gypsum.</t>
  </si>
  <si>
    <t>PHREEQC saturation index for halite.</t>
  </si>
  <si>
    <t>meq/L</t>
  </si>
  <si>
    <t>Sum of measured major cations expressed as milliequivalents per litre.</t>
  </si>
  <si>
    <t>Sum of measured major anions expressed as milliequivalents per litre.</t>
  </si>
  <si>
    <t>%</t>
  </si>
  <si>
    <t>Major-ion charge-balance error used for quantitative QC classification.</t>
  </si>
  <si>
    <t>index</t>
  </si>
  <si>
    <t>Sodium adsorption ratio for irrigation suitability screening.</t>
  </si>
  <si>
    <t>Sodium percentage for irrigation suitability screening.</t>
  </si>
  <si>
    <t>Dominant facies class derived from cation and anion composition.</t>
  </si>
  <si>
    <t>Interpreted dominant hydrochemical process for the sample.</t>
  </si>
  <si>
    <t>QC class based on charge-balance error: quantitative, screening-only, or exploratory-only.</t>
  </si>
  <si>
    <t>Climate_Aridification</t>
  </si>
  <si>
    <t>year</t>
  </si>
  <si>
    <t>Calendar year of climate observation.</t>
  </si>
  <si>
    <t>mm/year</t>
  </si>
  <si>
    <t>Annual rainfall total.</t>
  </si>
  <si>
    <t>Annual rainfall anomaly relative to baseline conditions.</t>
  </si>
  <si>
    <t>Mean annual temperature.</t>
  </si>
  <si>
    <t>Annual potential evapotranspiration.</t>
  </si>
  <si>
    <t>unitless ratio</t>
  </si>
  <si>
    <t>Aridity index calculated as precipitation divided by potential evapotranspiration.</t>
  </si>
  <si>
    <t>standardized index</t>
  </si>
  <si>
    <t>Twelve-month Standardized Precipitation Evapotranspiration Index.</t>
  </si>
  <si>
    <t>unitless index</t>
  </si>
  <si>
    <t>Normalized Difference Vegetation Index used as vegetation/recharge proxy.</t>
  </si>
  <si>
    <t>Derived recharge proxy used for climate-stress interpretation.</t>
  </si>
  <si>
    <t>Categorical drought classification.</t>
  </si>
  <si>
    <t>Graph_Edges</t>
  </si>
  <si>
    <t>Source borehole ID for a graph edge.</t>
  </si>
  <si>
    <t>Target borehole ID for a graph edge.</t>
  </si>
  <si>
    <t>Graph edge class describing local flow, shared aquifer, regional continuity or similar connection.</t>
  </si>
  <si>
    <t>Distance between connected borehole nodes.</t>
  </si>
  <si>
    <t>Hydrochemical similarity score between connected nodes.</t>
  </si>
  <si>
    <t>Combined similarity weight for climate and geological setting.</t>
  </si>
  <si>
    <t>Relative plausibility of a hydrogeological flow-path connection.</t>
  </si>
  <si>
    <t>Final edge weight combining chemical, spatial, climate, geological and flow-path components.</t>
  </si>
  <si>
    <t>Yes/No</t>
  </si>
  <si>
    <t>Indicates whether source and target wells are in the same conceptual aquifer class.</t>
  </si>
  <si>
    <t>Dominant process expected along the graph edge.</t>
  </si>
  <si>
    <t>Basis used to infer pathway direction between connected boreholes.</t>
  </si>
  <si>
    <t>Model_Feature_Matrix</t>
  </si>
  <si>
    <t>z-score</t>
  </si>
  <si>
    <t>Standardized electrical conductivity feature.</t>
  </si>
  <si>
    <t>Standardized nitrate feature.</t>
  </si>
  <si>
    <t>Standardized fluoride feature.</t>
  </si>
  <si>
    <t>molar ratio</t>
  </si>
  <si>
    <t>Sodium-to-chloride molar ratio used to infer halite dissolution, ion exchange or mixing.</t>
  </si>
  <si>
    <t>meq ratio</t>
  </si>
  <si>
    <t>Bicarbonate to calcium-plus-magnesium ratio used to evaluate weathering and alkalinity evolution.</t>
  </si>
  <si>
    <t>Chloride-to-bicarbonate ratio used to evaluate salinity and evaporation evolution.</t>
  </si>
  <si>
    <t>0–1 score</t>
  </si>
  <si>
    <t>Model feature representing evaporation concentration tendency.</t>
  </si>
  <si>
    <t>Model feature representing silicate-weathering influence.</t>
  </si>
  <si>
    <t>Model feature representing carbonate-weathering influence.</t>
  </si>
  <si>
    <t>Model feature representing cation exchange or reverse ion exchange.</t>
  </si>
  <si>
    <t>Model feature representing agro-domestic nitrate loading.</t>
  </si>
  <si>
    <t>Model feature representing geogenic fluoride mobilisation probability.</t>
  </si>
  <si>
    <t>Model feature representing salinity evolution along graph pathways.</t>
  </si>
  <si>
    <t>Inferred pathway state assigned to the sample.</t>
  </si>
  <si>
    <t>Simplified target label for aquifer evolution classification.</t>
  </si>
  <si>
    <t>Train/test split used for model validation.</t>
  </si>
  <si>
    <t>Quality_Control</t>
  </si>
  <si>
    <t>QA/QC Item</t>
  </si>
  <si>
    <t>Quality-control item or metadata topic.</t>
  </si>
  <si>
    <t>Interpretation</t>
  </si>
  <si>
    <t>Interpretation or action associated with the QA/QC item.</t>
  </si>
  <si>
    <t>Dataset_Level</t>
  </si>
  <si>
    <t>Coordinate_Masking</t>
  </si>
  <si>
    <t>method note</t>
  </si>
  <si>
    <t>Exact borehole coordinates are not released; Latitude and Longitude are masked offsets for regional reproducibility.</t>
  </si>
  <si>
    <t>Charge_Balance_Rule</t>
  </si>
  <si>
    <t>QC rule</t>
  </si>
  <si>
    <t>abs(CBE) ≤ 5% = quantitative; 5% &lt; abs(CBE) ≤ 10% = screening only; abs(CBE) &gt; 10% = exploratory only.</t>
  </si>
  <si>
    <t>Sensitive_Infrastructure</t>
  </si>
  <si>
    <t>ethics note</t>
  </si>
  <si>
    <t>Coordinate masking protects community water-supply infrastructure while preserving regional analytical patterns.</t>
  </si>
  <si>
    <t>Status</t>
  </si>
  <si>
    <t>Dataset corrected for Mendeley/reviewer use: QC classes filled, high-CBE samples flagged, coordinates masked, dates converted, data dictionary expanded.</t>
  </si>
  <si>
    <t>Sample design</t>
  </si>
  <si>
    <t>160 boreholes; 320 seasonal samples: one wet and one dry sample per well.</t>
  </si>
  <si>
    <t>Spatial design</t>
  </si>
  <si>
    <t>Four northern Ghana regions, 40 boreholes per region, node-edge graph structure.</t>
  </si>
  <si>
    <t>Coordinate handling</t>
  </si>
  <si>
    <t>Latitude and Longitude are spatially masked coordinates; see Coordinate_Masking_Note.</t>
  </si>
  <si>
    <t>Chemistry design</t>
  </si>
  <si>
    <t>Major-ion calculations include charge-balance screening.</t>
  </si>
  <si>
    <t>Charge balance criterion</t>
  </si>
  <si>
    <t>abs(CBE) ≤ 5% = quantitative inverse modelling; 5% &lt; abs(CBE) ≤ 10% = screening only; abs(CBE) &gt; 10% = exploratory only.</t>
  </si>
  <si>
    <t>High-CBE flagged samples</t>
  </si>
  <si>
    <t>7 samples have abs(CBE) &gt; 10% and are flagged for exploratory use only: NGS-0013, NGS-0027, NGS-0034, NGS-0087, NGS-0117, NGS-0224, NGS-0245.</t>
  </si>
  <si>
    <t>Caution-CBE samples</t>
  </si>
  <si>
    <t>19 samples have 5% &lt; abs(CBE) ≤ 10% and are flagged for screening-only use.</t>
  </si>
  <si>
    <t>Data linkage</t>
  </si>
  <si>
    <t>Well_ID links node attributes, seasonal chemistry, graph edges and model features; Sample_ID links hydrochemistry to model features.</t>
  </si>
  <si>
    <t>Use</t>
  </si>
  <si>
    <t>Supports aquifer evolution classification, graph modelling and hydrochemical process interpretation.</t>
  </si>
  <si>
    <t>Item</t>
  </si>
  <si>
    <t>Latitude and Longitude fields in Wells_Nodes and Model_Feature_Matrix are spatially masked coordinates, not exact borehole locations.</t>
  </si>
  <si>
    <t>Masking purpose</t>
  </si>
  <si>
    <t>Masking protects community water-supply infrastructure and sensitive borehole locations while preserving regional-scale hydrogeochemical reproducibility.</t>
  </si>
  <si>
    <t>Masking approach</t>
  </si>
  <si>
    <t>Each borehole coordinate was shifted by a deterministic offset of approximately 1–3 km and rounded to 5 decimal places before public release.</t>
  </si>
  <si>
    <t>Consistency</t>
  </si>
  <si>
    <t>The same masked coordinate is used for each Well_ID in Wells_Nodes and all linked rows in Model_Feature_Matrix.</t>
  </si>
  <si>
    <t>Graph distances</t>
  </si>
  <si>
    <t>Graph_Edges distances and weights are retained as processed analytical outputs from the original modelling workflow.</t>
  </si>
  <si>
    <t>Use limitation</t>
  </si>
  <si>
    <t>Do not use the masked coordinates for site-level navigation, drilling decisions, legal boundary analysis or village-scale infrastructure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</si>
</sst>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00"/>
  </numFmts>
  <fonts count="6" x14ac:knownFonts="1">
    <font>
      <sz val="11"/>
      <name val="Carlito"/>
    </font>
    <font>
      <b/>
      <sz val="14"/>
      <color rgb="FFFFFFFF"/>
      <name val="Carlito"/>
    </font>
    <font>
      <b/>
      <sz val="11"/>
      <color rgb="FF991B1B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1E3A8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1F4E79"/>
      </patternFill>
    </fill>
    <fill>
      <patternFill patternType="solid">
        <fgColor rgb="FFEFF6FF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4" fillId="7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0" fontId="3" fillId="8" borderId="0" xfId="0" applyFont="1" applyFill="1"/>
    <xf numFmtId="0" fontId="0" fillId="9" borderId="0" xfId="0" applyFill="1"/>
    <xf numFmtId="0" fontId="3" fillId="4" borderId="0" xfId="0" applyFont="1" applyFill="1" applyAlignment="1">
      <alignment wrapText="1"/>
    </xf>
    <xf numFmtId="49" fontId="0" fillId="0" borderId="0" xfId="0" applyNumberFormat="1"/>
    <xf numFmtId="0" fontId="4" fillId="1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>
          <bgColor rgb="FFFECACA"/>
        </patternFill>
      </fill>
    </dxf>
    <dxf>
      <font>
        <color rgb="FF7F1D1D"/>
      </font>
      <fill>
        <patternFill>
          <bgColor rgb="FFFCA5A5"/>
        </patternFill>
      </fill>
    </dxf>
    <dxf>
      <font>
        <color rgb="FF7C2D12"/>
      </font>
      <fill>
        <patternFill>
          <bgColor rgb="FFFED7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Mean Dry-Season EC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Wells_n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Dashboard!$B$11:$B$14</c:f>
              <c:numCache>
                <c:formatCode>0.00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6-4340-86BB-3F1E37E99CDB}"/>
            </c:ext>
          </c:extLst>
        </c:ser>
        <c:ser>
          <c:idx val="1"/>
          <c:order val="1"/>
          <c:tx>
            <c:v>Samples_n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Dashboard!$C$11:$C$14</c:f>
              <c:numCache>
                <c:formatCode>0.00</c:formatCode>
                <c:ptCount val="4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6-4340-86BB-3F1E37E99CDB}"/>
            </c:ext>
          </c:extLst>
        </c:ser>
        <c:ser>
          <c:idx val="2"/>
          <c:order val="2"/>
          <c:tx>
            <c:v>Mean_Dry_EC_uS_cm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Dashboard!$D$11:$D$14</c:f>
              <c:numCache>
                <c:formatCode>0.00</c:formatCode>
                <c:ptCount val="4"/>
                <c:pt idx="0">
                  <c:v>822.8</c:v>
                </c:pt>
                <c:pt idx="1">
                  <c:v>834.3</c:v>
                </c:pt>
                <c:pt idx="2">
                  <c:v>900.9</c:v>
                </c:pt>
                <c:pt idx="3">
                  <c:v>818.3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6-4340-86BB-3F1E37E99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Mean Dry-Season Fluoride / Nitrate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Wells_n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Dashboard!$B$11:$B$14</c:f>
              <c:numCache>
                <c:formatCode>0.00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C-4BE0-A157-29ED7B7ABE99}"/>
            </c:ext>
          </c:extLst>
        </c:ser>
        <c:ser>
          <c:idx val="1"/>
          <c:order val="1"/>
          <c:tx>
            <c:v>Samples_n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Dashboard!$C$11:$C$14</c:f>
              <c:numCache>
                <c:formatCode>0.00</c:formatCode>
                <c:ptCount val="4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C-4BE0-A157-29ED7B7ABE99}"/>
            </c:ext>
          </c:extLst>
        </c:ser>
        <c:ser>
          <c:idx val="2"/>
          <c:order val="2"/>
          <c:tx>
            <c:v>Mean_Dry_EC_uS_cm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Dashboard!$D$11:$D$14</c:f>
              <c:numCache>
                <c:formatCode>0.00</c:formatCode>
                <c:ptCount val="4"/>
                <c:pt idx="0">
                  <c:v>822.8</c:v>
                </c:pt>
                <c:pt idx="1">
                  <c:v>834.3</c:v>
                </c:pt>
                <c:pt idx="2">
                  <c:v>900.9</c:v>
                </c:pt>
                <c:pt idx="3">
                  <c:v>818.3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C-4BE0-A157-29ED7B7ABE99}"/>
            </c:ext>
          </c:extLst>
        </c:ser>
        <c:ser>
          <c:idx val="3"/>
          <c:order val="3"/>
          <c:tx>
            <c:v>Mean_Dry_F_mg_L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Dashboard!$E$11:$E$14</c:f>
              <c:numCache>
                <c:formatCode>0.00</c:formatCode>
                <c:ptCount val="4"/>
                <c:pt idx="0">
                  <c:v>0.7</c:v>
                </c:pt>
                <c:pt idx="1">
                  <c:v>0.7</c:v>
                </c:pt>
                <c:pt idx="2">
                  <c:v>2.0499999999999998</c:v>
                </c:pt>
                <c:pt idx="3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3C-4BE0-A157-29ED7B7ABE99}"/>
            </c:ext>
          </c:extLst>
        </c:ser>
        <c:ser>
          <c:idx val="4"/>
          <c:order val="4"/>
          <c:tx>
            <c:v>Mean_Dry_NO3_mg_L</c:v>
          </c:tx>
          <c:invertIfNegative val="1"/>
          <c:cat>
            <c:strRef>
              <c:f>Dashboard!$A$11:$A$14</c:f>
              <c:strCache>
                <c:ptCount val="4"/>
                <c:pt idx="0">
                  <c:v>Northern Region</c:v>
                </c:pt>
                <c:pt idx="1">
                  <c:v>North East Region</c:v>
                </c:pt>
                <c:pt idx="2">
                  <c:v>Upper East Region</c:v>
                </c:pt>
                <c:pt idx="3">
                  <c:v>Upper West Region</c:v>
                </c:pt>
              </c:strCache>
            </c:strRef>
          </c:cat>
          <c:val>
            <c:numRef>
              <c:f>Dashboard!$F$11:$F$14</c:f>
              <c:numCache>
                <c:formatCode>0.00</c:formatCode>
                <c:ptCount val="4"/>
                <c:pt idx="0">
                  <c:v>31</c:v>
                </c:pt>
                <c:pt idx="1">
                  <c:v>31.2</c:v>
                </c:pt>
                <c:pt idx="2">
                  <c:v>35.799999999999997</c:v>
                </c:pt>
                <c:pt idx="3">
                  <c:v>35.200000000000003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C-4BE0-A157-29ED7B7AB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WellsNodesTable" displayName="WellsNodesTable" ref="A1:V161">
  <tableColumns count="22">
    <tableColumn id="1" xr3:uid="{00000000-0010-0000-0000-000001000000}" name="Well_ID"/>
    <tableColumn id="2" xr3:uid="{00000000-0010-0000-0000-000002000000}" name="Region"/>
    <tableColumn id="3" xr3:uid="{00000000-0010-0000-0000-000003000000}" name="District"/>
    <tableColumn id="4" xr3:uid="{00000000-0010-0000-0000-000004000000}" name="Community_Code"/>
    <tableColumn id="5" xr3:uid="{00000000-0010-0000-0000-000005000000}" name="Latitude"/>
    <tableColumn id="6" xr3:uid="{00000000-0010-0000-0000-000006000000}" name="Longitude"/>
    <tableColumn id="7" xr3:uid="{00000000-0010-0000-0000-000007000000}" name="Elevation_m"/>
    <tableColumn id="8" xr3:uid="{00000000-0010-0000-0000-000008000000}" name="Borehole_Depth_m"/>
    <tableColumn id="9" xr3:uid="{00000000-0010-0000-0000-000009000000}" name="Static_Water_Level_m"/>
    <tableColumn id="10" xr3:uid="{00000000-0010-0000-0000-00000A000000}" name="Aquifer_Type"/>
    <tableColumn id="11" xr3:uid="{00000000-0010-0000-0000-00000B000000}" name="Geology_Group"/>
    <tableColumn id="12" xr3:uid="{00000000-0010-0000-0000-00000C000000}" name="Lithology"/>
    <tableColumn id="13" xr3:uid="{00000000-0010-0000-0000-00000D000000}" name="Land_Use"/>
    <tableColumn id="14" xr3:uid="{00000000-0010-0000-0000-00000E000000}" name="Distance_River_km"/>
    <tableColumn id="15" xr3:uid="{00000000-0010-0000-0000-00000F000000}" name="Distance_Farm_km"/>
    <tableColumn id="16" xr3:uid="{00000000-0010-0000-0000-000010000000}" name="Distance_Settlement_km"/>
    <tableColumn id="17" xr3:uid="{00000000-0010-0000-0000-000011000000}" name="Recharge_Zone_Score_0_1"/>
    <tableColumn id="18" xr3:uid="{00000000-0010-0000-0000-000012000000}" name="Aridity_Stress_0_1"/>
    <tableColumn id="19" xr3:uid="{00000000-0010-0000-0000-000013000000}" name="Fluoride_Geogenic_Risk_0_1"/>
    <tableColumn id="20" xr3:uid="{00000000-0010-0000-0000-000014000000}" name="Anthropogenic_Risk_0_1"/>
    <tableColumn id="21" xr3:uid="{00000000-0010-0000-0000-000015000000}" name="Graph_Node_Class"/>
    <tableColumn id="22" xr3:uid="{00000000-0010-0000-0000-000016000000}" name="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ydrochemistryTable" displayName="HydrochemistryTable" ref="A1:AI321">
  <tableColumns count="35">
    <tableColumn id="1" xr3:uid="{00000000-0010-0000-0100-000001000000}" name="Sample_ID"/>
    <tableColumn id="2" xr3:uid="{00000000-0010-0000-0100-000002000000}" name="Well_ID"/>
    <tableColumn id="3" xr3:uid="{00000000-0010-0000-0100-000003000000}" name="Season"/>
    <tableColumn id="4" xr3:uid="{00000000-0010-0000-0100-000004000000}" name="Sampling_Date"/>
    <tableColumn id="5" xr3:uid="{00000000-0010-0000-0100-000005000000}" name="Region"/>
    <tableColumn id="6" xr3:uid="{00000000-0010-0000-0100-000006000000}" name="Aquifer_Type"/>
    <tableColumn id="7" xr3:uid="{00000000-0010-0000-0100-000007000000}" name="pH"/>
    <tableColumn id="8" xr3:uid="{00000000-0010-0000-0100-000008000000}" name="EC_uS_cm"/>
    <tableColumn id="9" xr3:uid="{00000000-0010-0000-0100-000009000000}" name="TDS_mg_L"/>
    <tableColumn id="10" xr3:uid="{00000000-0010-0000-0100-00000A000000}" name="Temperature_C"/>
    <tableColumn id="11" xr3:uid="{00000000-0010-0000-0100-00000B000000}" name="Ca_mg_L"/>
    <tableColumn id="12" xr3:uid="{00000000-0010-0000-0100-00000C000000}" name="Mg_mg_L"/>
    <tableColumn id="13" xr3:uid="{00000000-0010-0000-0100-00000D000000}" name="Na_mg_L"/>
    <tableColumn id="14" xr3:uid="{00000000-0010-0000-0100-00000E000000}" name="K_mg_L"/>
    <tableColumn id="15" xr3:uid="{00000000-0010-0000-0100-00000F000000}" name="HCO3_mg_L"/>
    <tableColumn id="16" xr3:uid="{00000000-0010-0000-0100-000010000000}" name="Cl_mg_L"/>
    <tableColumn id="17" xr3:uid="{00000000-0010-0000-0100-000011000000}" name="SO4_mg_L"/>
    <tableColumn id="18" xr3:uid="{00000000-0010-0000-0100-000012000000}" name="NO3_mg_L"/>
    <tableColumn id="19" xr3:uid="{00000000-0010-0000-0100-000013000000}" name="F_mg_L"/>
    <tableColumn id="20" xr3:uid="{00000000-0010-0000-0100-000014000000}" name="d18O_permil"/>
    <tableColumn id="21" xr3:uid="{00000000-0010-0000-0100-000015000000}" name="d2H_permil"/>
    <tableColumn id="22" xr3:uid="{00000000-0010-0000-0100-000016000000}" name="Sr_mg_L"/>
    <tableColumn id="23" xr3:uid="{00000000-0010-0000-0100-000017000000}" name="SiO2_mg_L"/>
    <tableColumn id="24" xr3:uid="{00000000-0010-0000-0100-000018000000}" name="Calcite_SI"/>
    <tableColumn id="25" xr3:uid="{00000000-0010-0000-0100-000019000000}" name="Dolomite_SI"/>
    <tableColumn id="26" xr3:uid="{00000000-0010-0000-0100-00001A000000}" name="Gypsum_SI"/>
    <tableColumn id="27" xr3:uid="{00000000-0010-0000-0100-00001B000000}" name="Halite_SI"/>
    <tableColumn id="28" xr3:uid="{00000000-0010-0000-0100-00001C000000}" name="Cation_meq_L"/>
    <tableColumn id="29" xr3:uid="{00000000-0010-0000-0100-00001D000000}" name="Anion_meq_L"/>
    <tableColumn id="30" xr3:uid="{00000000-0010-0000-0100-00001E000000}" name="Charge_Balance_Error_pct"/>
    <tableColumn id="31" xr3:uid="{00000000-0010-0000-0100-00001F000000}" name="SAR"/>
    <tableColumn id="32" xr3:uid="{00000000-0010-0000-0100-000020000000}" name="Na_percent"/>
    <tableColumn id="33" xr3:uid="{00000000-0010-0000-0100-000021000000}" name="Hydrochemical_Facies"/>
    <tableColumn id="34" xr3:uid="{00000000-0010-0000-0100-000022000000}" name="Dominant_Process"/>
    <tableColumn id="35" xr3:uid="{00000000-0010-0000-0100-000023000000}" name="Data_Cla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ClimateAridificationTable" displayName="ClimateAridificationTable" ref="A1:L141">
  <tableColumns count="12">
    <tableColumn id="1" xr3:uid="{00000000-0010-0000-0200-000001000000}" name="Region"/>
    <tableColumn id="2" xr3:uid="{00000000-0010-0000-0200-000002000000}" name="Year"/>
    <tableColumn id="3" xr3:uid="{00000000-0010-0000-0200-000003000000}" name="Rainfall_mm_CHIRPS_like"/>
    <tableColumn id="4" xr3:uid="{00000000-0010-0000-0200-000004000000}" name="Rainfall_Anomaly_pct"/>
    <tableColumn id="5" xr3:uid="{00000000-0010-0000-0200-000005000000}" name="Mean_Temp_C_ERA5_like"/>
    <tableColumn id="6" xr3:uid="{00000000-0010-0000-0200-000006000000}" name="PET_mm_ERA5_like"/>
    <tableColumn id="7" xr3:uid="{00000000-0010-0000-0200-000007000000}" name="Aridity_Index_P_over_PET"/>
    <tableColumn id="8" xr3:uid="{00000000-0010-0000-0200-000008000000}" name="SPEI_like_12mo"/>
    <tableColumn id="9" xr3:uid="{00000000-0010-0000-0200-000009000000}" name="NDVI_MODIS_like"/>
    <tableColumn id="10" xr3:uid="{00000000-0010-0000-0200-00000A000000}" name="Recharge_Proxy_mm"/>
    <tableColumn id="11" xr3:uid="{00000000-0010-0000-0200-00000B000000}" name="Drought_Class"/>
    <tableColumn id="12" xr3:uid="{00000000-0010-0000-0200-00000C000000}" name="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GraphEdgesTable" displayName="GraphEdgesTable" ref="A1:L398">
  <tableColumns count="12">
    <tableColumn id="1" xr3:uid="{00000000-0010-0000-0300-000001000000}" name="Source_Well_ID"/>
    <tableColumn id="2" xr3:uid="{00000000-0010-0000-0300-000002000000}" name="Target_Well_ID"/>
    <tableColumn id="3" xr3:uid="{00000000-0010-0000-0300-000003000000}" name="Edge_Type"/>
    <tableColumn id="4" xr3:uid="{00000000-0010-0000-0300-000004000000}" name="Distance_km"/>
    <tableColumn id="5" xr3:uid="{00000000-0010-0000-0300-000005000000}" name="Hydrochemical_Similarity_0_1"/>
    <tableColumn id="6" xr3:uid="{00000000-0010-0000-0300-000006000000}" name="Climate_Geology_Weight_0_1"/>
    <tableColumn id="7" xr3:uid="{00000000-0010-0000-0300-000007000000}" name="Flowpath_Plausibility_0_1"/>
    <tableColumn id="8" xr3:uid="{00000000-0010-0000-0300-000008000000}" name="Composite_Graph_Weight_0_1"/>
    <tableColumn id="9" xr3:uid="{00000000-0010-0000-0300-000009000000}" name="Shared_Aquifer"/>
    <tableColumn id="10" xr3:uid="{00000000-0010-0000-0300-00000A000000}" name="Expected_Process_Link"/>
    <tableColumn id="11" xr3:uid="{00000000-0010-0000-0300-00000B000000}" name="Direction_Assumption"/>
    <tableColumn id="12" xr3:uid="{00000000-0010-0000-0300-00000C000000}" name="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ModelFeatureTable" displayName="ModelFeatureTable" ref="A1:Z321">
  <tableColumns count="26">
    <tableColumn id="1" xr3:uid="{00000000-0010-0000-0400-000001000000}" name="Sample_ID"/>
    <tableColumn id="2" xr3:uid="{00000000-0010-0000-0400-000002000000}" name="Well_ID"/>
    <tableColumn id="3" xr3:uid="{00000000-0010-0000-0400-000003000000}" name="Region"/>
    <tableColumn id="4" xr3:uid="{00000000-0010-0000-0400-000004000000}" name="Season"/>
    <tableColumn id="5" xr3:uid="{00000000-0010-0000-0400-000005000000}" name="Aquifer_Type"/>
    <tableColumn id="6" xr3:uid="{00000000-0010-0000-0400-000006000000}" name="Latitude"/>
    <tableColumn id="7" xr3:uid="{00000000-0010-0000-0400-000007000000}" name="Longitude"/>
    <tableColumn id="8" xr3:uid="{00000000-0010-0000-0400-000008000000}" name="Aridity_Stress_0_1"/>
    <tableColumn id="9" xr3:uid="{00000000-0010-0000-0400-000009000000}" name="Recharge_Zone_Score_0_1"/>
    <tableColumn id="10" xr3:uid="{00000000-0010-0000-0400-00000A000000}" name="EC_z"/>
    <tableColumn id="11" xr3:uid="{00000000-0010-0000-0400-00000B000000}" name="NO3_z"/>
    <tableColumn id="12" xr3:uid="{00000000-0010-0000-0400-00000C000000}" name="F_z"/>
    <tableColumn id="13" xr3:uid="{00000000-0010-0000-0400-00000D000000}" name="NaCl_molar_ratio"/>
    <tableColumn id="14" xr3:uid="{00000000-0010-0000-0400-00000E000000}" name="HCO3_CaMg_meq_ratio"/>
    <tableColumn id="15" xr3:uid="{00000000-0010-0000-0400-00000F000000}" name="Cl_HCO3_meq_ratio"/>
    <tableColumn id="16" xr3:uid="{00000000-0010-0000-0400-000010000000}" name="Evaporation_Score"/>
    <tableColumn id="17" xr3:uid="{00000000-0010-0000-0400-000011000000}" name="Silicate_Weathering_Score"/>
    <tableColumn id="18" xr3:uid="{00000000-0010-0000-0400-000012000000}" name="Carbonate_Weathering_Score"/>
    <tableColumn id="19" xr3:uid="{00000000-0010-0000-0400-000013000000}" name="Ion_Exchange_Score"/>
    <tableColumn id="20" xr3:uid="{00000000-0010-0000-0400-000014000000}" name="Anthropogenic_Nitrate_Score"/>
    <tableColumn id="21" xr3:uid="{00000000-0010-0000-0400-000015000000}" name="Fluoride_Mobilisation_Score"/>
    <tableColumn id="22" xr3:uid="{00000000-0010-0000-0400-000016000000}" name="Salinity_Evolution_Score"/>
    <tableColumn id="23" xr3:uid="{00000000-0010-0000-0400-000017000000}" name="Inferred_Aquifer_Evolution_State"/>
    <tableColumn id="24" xr3:uid="{00000000-0010-0000-0400-000018000000}" name="Target_Label_For_Model"/>
    <tableColumn id="25" xr3:uid="{00000000-0010-0000-0400-000019000000}" name="Train_Test_Split"/>
    <tableColumn id="26" xr3:uid="{00000000-0010-0000-0400-00001A000000}" name="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Table" displayName="DataDictionaryTable" ref="A1:D20">
  <tableColumns count="4">
    <tableColumn id="1" xr3:uid="{00000000-0010-0000-0500-000001000000}" name="Sheet"/>
    <tableColumn id="2" xr3:uid="{00000000-0010-0000-0500-000002000000}" name="Field"/>
    <tableColumn id="3" xr3:uid="{00000000-0010-0000-0500-000003000000}" name="Unit / Type"/>
    <tableColumn id="4" xr3:uid="{00000000-0010-0000-05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/>
  </sheetViews>
  <sheetFormatPr defaultRowHeight="14.4" x14ac:dyDescent="0.3"/>
  <sheetData>
    <row r="1" spans="1:26" x14ac:dyDescent="0.3">
      <c r="A1" s="11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3"/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0.8" x14ac:dyDescent="0.3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2.8" x14ac:dyDescent="0.3">
      <c r="A4" s="8" t="s">
        <v>3</v>
      </c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8" x14ac:dyDescent="0.3">
      <c r="A5" s="8" t="s">
        <v>5</v>
      </c>
      <c r="B5" s="1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0.4" x14ac:dyDescent="0.3">
      <c r="A6" s="8" t="s">
        <v>7</v>
      </c>
      <c r="B6" s="1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1.6" x14ac:dyDescent="0.3">
      <c r="A7" s="8" t="s">
        <v>9</v>
      </c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0.4" x14ac:dyDescent="0.3">
      <c r="A8" s="8" t="s">
        <v>11</v>
      </c>
      <c r="B8" s="1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8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3.2" x14ac:dyDescent="0.3">
      <c r="A10" s="8" t="s">
        <v>13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09.6" x14ac:dyDescent="0.3">
      <c r="A11" s="8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1.2" x14ac:dyDescent="0.3">
      <c r="A12" s="1" t="s">
        <v>15</v>
      </c>
      <c r="B12" s="1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4" t="s">
        <v>17</v>
      </c>
      <c r="B13" s="12" t="s">
        <v>18</v>
      </c>
      <c r="C13" s="12"/>
      <c r="D13" s="12"/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5" t="s">
        <v>19</v>
      </c>
      <c r="B14" s="12" t="s">
        <v>20</v>
      </c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2"/>
      <c r="B15" s="12"/>
      <c r="C15" s="12"/>
      <c r="D15" s="12"/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2"/>
      <c r="B16" s="12"/>
      <c r="C16" s="12"/>
      <c r="D16" s="12"/>
      <c r="E16" s="12"/>
      <c r="F16" s="12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2"/>
      <c r="B17" s="12"/>
      <c r="C17" s="12"/>
      <c r="D17" s="12"/>
      <c r="E17" s="12"/>
      <c r="F17" s="12"/>
      <c r="G17" s="12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4">
    <mergeCell ref="A1:H1"/>
    <mergeCell ref="A2:H2"/>
    <mergeCell ref="A13:H13"/>
    <mergeCell ref="A14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/>
  </sheetViews>
  <sheetFormatPr defaultRowHeight="14.4" x14ac:dyDescent="0.3"/>
  <cols>
    <col min="1" max="1" width="112.77734375" customWidth="1"/>
    <col min="2" max="2" width="6.44140625" customWidth="1"/>
    <col min="3" max="3" width="25.6640625" customWidth="1"/>
    <col min="4" max="4" width="17.88671875" customWidth="1"/>
    <col min="5" max="5" width="15.77734375" customWidth="1"/>
    <col min="6" max="6" width="18.5546875" customWidth="1"/>
    <col min="7" max="7" width="14.109375" customWidth="1"/>
    <col min="8" max="8" width="15.88671875" customWidth="1"/>
    <col min="9" max="9" width="21.6640625" customWidth="1"/>
    <col min="10" max="10" width="36" customWidth="1"/>
  </cols>
  <sheetData>
    <row r="1" spans="1:10" ht="18" x14ac:dyDescent="0.3">
      <c r="A1" s="16" t="s">
        <v>21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">
      <c r="A2" s="13" t="s">
        <v>22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x14ac:dyDescent="0.3">
      <c r="A4" s="6" t="s">
        <v>23</v>
      </c>
      <c r="B4" s="7">
        <v>160</v>
      </c>
      <c r="C4" s="6" t="s">
        <v>24</v>
      </c>
      <c r="D4" s="7">
        <v>30</v>
      </c>
    </row>
    <row r="5" spans="1:10" x14ac:dyDescent="0.3">
      <c r="A5" s="6" t="s">
        <v>25</v>
      </c>
      <c r="B5" s="7">
        <v>320</v>
      </c>
      <c r="C5" s="6" t="s">
        <v>26</v>
      </c>
      <c r="D5" s="7">
        <v>29</v>
      </c>
    </row>
    <row r="6" spans="1:10" x14ac:dyDescent="0.3">
      <c r="A6" s="6" t="s">
        <v>27</v>
      </c>
      <c r="B6" s="7">
        <v>844.1</v>
      </c>
      <c r="C6" s="6" t="s">
        <v>28</v>
      </c>
      <c r="D6" s="7">
        <v>602.29999999999995</v>
      </c>
    </row>
    <row r="7" spans="1:10" x14ac:dyDescent="0.3">
      <c r="A7" s="6" t="s">
        <v>29</v>
      </c>
      <c r="B7" s="7" t="s">
        <v>30</v>
      </c>
      <c r="C7" s="6" t="s">
        <v>31</v>
      </c>
      <c r="D7" s="7" t="s">
        <v>32</v>
      </c>
    </row>
    <row r="8" spans="1:10" x14ac:dyDescent="0.3">
      <c r="A8" t="s">
        <v>33</v>
      </c>
      <c r="B8">
        <v>7</v>
      </c>
      <c r="C8" t="s">
        <v>34</v>
      </c>
      <c r="D8" t="s">
        <v>35</v>
      </c>
    </row>
    <row r="9" spans="1:10" x14ac:dyDescent="0.3">
      <c r="A9" s="18" t="s">
        <v>36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45</v>
      </c>
      <c r="J10" s="2" t="s">
        <v>46</v>
      </c>
    </row>
    <row r="11" spans="1:10" x14ac:dyDescent="0.3">
      <c r="A11" s="4" t="s">
        <v>47</v>
      </c>
      <c r="B11" s="4">
        <v>40</v>
      </c>
      <c r="C11" s="4">
        <v>80</v>
      </c>
      <c r="D11" s="4">
        <v>822.8</v>
      </c>
      <c r="E11" s="4">
        <v>0.7</v>
      </c>
      <c r="F11" s="4">
        <v>31</v>
      </c>
      <c r="G11" s="4">
        <v>1</v>
      </c>
      <c r="H11" s="4">
        <v>6</v>
      </c>
      <c r="I11" s="4">
        <v>0.51700000000000002</v>
      </c>
      <c r="J11" t="s">
        <v>48</v>
      </c>
    </row>
    <row r="12" spans="1:10" x14ac:dyDescent="0.3">
      <c r="A12" s="4" t="s">
        <v>49</v>
      </c>
      <c r="B12" s="4">
        <v>40</v>
      </c>
      <c r="C12" s="4">
        <v>80</v>
      </c>
      <c r="D12" s="4">
        <v>834.3</v>
      </c>
      <c r="E12" s="4">
        <v>0.7</v>
      </c>
      <c r="F12" s="4">
        <v>31.2</v>
      </c>
      <c r="G12" s="4">
        <v>0</v>
      </c>
      <c r="H12" s="4">
        <v>7</v>
      </c>
      <c r="I12" s="4">
        <v>0.47199999999999998</v>
      </c>
      <c r="J12" t="s">
        <v>48</v>
      </c>
    </row>
    <row r="13" spans="1:10" x14ac:dyDescent="0.3">
      <c r="A13" s="4" t="s">
        <v>32</v>
      </c>
      <c r="B13" s="4">
        <v>40</v>
      </c>
      <c r="C13" s="4">
        <v>80</v>
      </c>
      <c r="D13" s="4">
        <v>900.9</v>
      </c>
      <c r="E13" s="4">
        <v>2.0499999999999998</v>
      </c>
      <c r="F13" s="4">
        <v>35.799999999999997</v>
      </c>
      <c r="G13" s="4">
        <v>28</v>
      </c>
      <c r="H13" s="4">
        <v>9</v>
      </c>
      <c r="I13" s="4">
        <v>0.35399999999999998</v>
      </c>
      <c r="J13" t="s">
        <v>48</v>
      </c>
    </row>
    <row r="14" spans="1:10" x14ac:dyDescent="0.3">
      <c r="A14" s="4" t="s">
        <v>50</v>
      </c>
      <c r="B14" s="4">
        <v>40</v>
      </c>
      <c r="C14" s="4">
        <v>80</v>
      </c>
      <c r="D14" s="4">
        <v>818.3</v>
      </c>
      <c r="E14" s="4">
        <v>0.77</v>
      </c>
      <c r="F14" s="4">
        <v>35.200000000000003</v>
      </c>
      <c r="G14" s="4">
        <v>1</v>
      </c>
      <c r="H14" s="4">
        <v>7</v>
      </c>
      <c r="I14" s="4">
        <v>0.36299999999999999</v>
      </c>
      <c r="J14" t="s">
        <v>48</v>
      </c>
    </row>
  </sheetData>
  <mergeCells count="3">
    <mergeCell ref="A1:J1"/>
    <mergeCell ref="A2:J2"/>
    <mergeCell ref="A9:J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1"/>
  <sheetViews>
    <sheetView topLeftCell="H129" workbookViewId="0"/>
  </sheetViews>
  <sheetFormatPr defaultRowHeight="14.4" x14ac:dyDescent="0.3"/>
  <cols>
    <col min="1" max="22" width="18" customWidth="1"/>
  </cols>
  <sheetData>
    <row r="1" spans="1:22" ht="28.8" x14ac:dyDescent="0.3">
      <c r="A1" s="10" t="s">
        <v>51</v>
      </c>
      <c r="B1" s="10" t="s">
        <v>37</v>
      </c>
      <c r="C1" s="10" t="s">
        <v>52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66</v>
      </c>
      <c r="R1" s="10" t="s">
        <v>67</v>
      </c>
      <c r="S1" s="10" t="s">
        <v>68</v>
      </c>
      <c r="T1" s="10" t="s">
        <v>69</v>
      </c>
      <c r="U1" s="10" t="s">
        <v>70</v>
      </c>
      <c r="V1" s="10" t="s">
        <v>71</v>
      </c>
    </row>
    <row r="2" spans="1:22" x14ac:dyDescent="0.3">
      <c r="A2" t="s">
        <v>72</v>
      </c>
      <c r="B2" t="s">
        <v>47</v>
      </c>
      <c r="C2" t="s">
        <v>73</v>
      </c>
      <c r="D2" t="s">
        <v>74</v>
      </c>
      <c r="E2" s="3">
        <v>8.8571000000000009</v>
      </c>
      <c r="F2" s="3">
        <v>-1.9852799999999999</v>
      </c>
      <c r="G2" s="4">
        <v>184.6</v>
      </c>
      <c r="H2" s="4">
        <v>93.5</v>
      </c>
      <c r="I2" s="4">
        <v>9.1999999999999993</v>
      </c>
      <c r="J2" s="4" t="s">
        <v>75</v>
      </c>
      <c r="K2" s="4" t="s">
        <v>76</v>
      </c>
      <c r="L2" s="4" t="s">
        <v>77</v>
      </c>
      <c r="M2" s="4" t="s">
        <v>78</v>
      </c>
      <c r="N2" s="4">
        <v>11.62</v>
      </c>
      <c r="O2" s="4">
        <v>2.29</v>
      </c>
      <c r="P2" s="4">
        <v>1.94</v>
      </c>
      <c r="Q2" s="4">
        <v>0.35699999999999998</v>
      </c>
      <c r="R2" s="4">
        <v>0.47799999999999998</v>
      </c>
      <c r="S2" s="4">
        <v>0.38100000000000001</v>
      </c>
      <c r="T2">
        <v>0.374</v>
      </c>
      <c r="U2" t="s">
        <v>79</v>
      </c>
      <c r="V2" t="s">
        <v>80</v>
      </c>
    </row>
    <row r="3" spans="1:22" x14ac:dyDescent="0.3">
      <c r="A3" t="s">
        <v>81</v>
      </c>
      <c r="B3" t="s">
        <v>47</v>
      </c>
      <c r="C3" t="s">
        <v>82</v>
      </c>
      <c r="D3" t="s">
        <v>83</v>
      </c>
      <c r="E3" s="3">
        <v>8.4870900000000002</v>
      </c>
      <c r="F3" s="3">
        <v>-1.7688200000000001</v>
      </c>
      <c r="G3" s="4">
        <v>197</v>
      </c>
      <c r="H3" s="4">
        <v>76</v>
      </c>
      <c r="I3" s="4">
        <v>18.100000000000001</v>
      </c>
      <c r="J3" s="4" t="s">
        <v>75</v>
      </c>
      <c r="K3" s="4" t="s">
        <v>76</v>
      </c>
      <c r="L3" s="4" t="s">
        <v>84</v>
      </c>
      <c r="M3" s="4" t="s">
        <v>85</v>
      </c>
      <c r="N3" s="4">
        <v>16.21</v>
      </c>
      <c r="O3" s="4">
        <v>4.66</v>
      </c>
      <c r="P3" s="4">
        <v>0.6</v>
      </c>
      <c r="Q3" s="4">
        <v>0.13100000000000001</v>
      </c>
      <c r="R3" s="4">
        <v>0.44400000000000001</v>
      </c>
      <c r="S3" s="4">
        <v>0.21</v>
      </c>
      <c r="T3">
        <v>0.214</v>
      </c>
      <c r="U3" t="s">
        <v>79</v>
      </c>
      <c r="V3" t="s">
        <v>80</v>
      </c>
    </row>
    <row r="4" spans="1:22" x14ac:dyDescent="0.3">
      <c r="A4" t="s">
        <v>86</v>
      </c>
      <c r="B4" t="s">
        <v>47</v>
      </c>
      <c r="C4" t="s">
        <v>73</v>
      </c>
      <c r="D4" t="s">
        <v>87</v>
      </c>
      <c r="E4" s="3">
        <v>10.160500000000001</v>
      </c>
      <c r="F4" s="3">
        <v>-2.5222099999999998</v>
      </c>
      <c r="G4" s="4">
        <v>209.6</v>
      </c>
      <c r="H4" s="4">
        <v>78.900000000000006</v>
      </c>
      <c r="I4" s="4">
        <v>10.3</v>
      </c>
      <c r="J4" s="4" t="s">
        <v>75</v>
      </c>
      <c r="K4" s="4" t="s">
        <v>76</v>
      </c>
      <c r="L4" s="4" t="s">
        <v>77</v>
      </c>
      <c r="M4" s="4" t="s">
        <v>85</v>
      </c>
      <c r="N4" s="4">
        <v>12.32</v>
      </c>
      <c r="O4" s="4">
        <v>0.71</v>
      </c>
      <c r="P4" s="4">
        <v>0.9</v>
      </c>
      <c r="Q4" s="4">
        <v>0.51300000000000001</v>
      </c>
      <c r="R4" s="4">
        <v>0.56699999999999995</v>
      </c>
      <c r="S4" s="4">
        <v>0.41599999999999998</v>
      </c>
      <c r="T4">
        <v>0.49</v>
      </c>
      <c r="U4" t="s">
        <v>79</v>
      </c>
      <c r="V4" t="s">
        <v>80</v>
      </c>
    </row>
    <row r="5" spans="1:22" x14ac:dyDescent="0.3">
      <c r="A5" t="s">
        <v>88</v>
      </c>
      <c r="B5" t="s">
        <v>47</v>
      </c>
      <c r="C5" t="s">
        <v>89</v>
      </c>
      <c r="D5" t="s">
        <v>90</v>
      </c>
      <c r="E5" s="3">
        <v>8.5141500000000008</v>
      </c>
      <c r="F5" s="3">
        <v>-2.512E-2</v>
      </c>
      <c r="G5" s="4">
        <v>141</v>
      </c>
      <c r="H5" s="4">
        <v>71.3</v>
      </c>
      <c r="I5" s="4">
        <v>13.8</v>
      </c>
      <c r="J5" s="4" t="s">
        <v>75</v>
      </c>
      <c r="K5" s="4" t="s">
        <v>76</v>
      </c>
      <c r="L5" s="4" t="s">
        <v>77</v>
      </c>
      <c r="M5" s="4" t="s">
        <v>91</v>
      </c>
      <c r="N5" s="4">
        <v>5.64</v>
      </c>
      <c r="O5" s="4">
        <v>0.11</v>
      </c>
      <c r="P5" s="4">
        <v>0.24</v>
      </c>
      <c r="Q5" s="4">
        <v>0.35099999999999998</v>
      </c>
      <c r="R5" s="4">
        <v>0.59099999999999997</v>
      </c>
      <c r="S5" s="4">
        <v>0.20200000000000001</v>
      </c>
      <c r="T5">
        <v>0.59099999999999997</v>
      </c>
      <c r="U5" t="s">
        <v>79</v>
      </c>
      <c r="V5" t="s">
        <v>80</v>
      </c>
    </row>
    <row r="6" spans="1:22" x14ac:dyDescent="0.3">
      <c r="A6" t="s">
        <v>92</v>
      </c>
      <c r="B6" t="s">
        <v>47</v>
      </c>
      <c r="C6" t="s">
        <v>73</v>
      </c>
      <c r="D6" t="s">
        <v>93</v>
      </c>
      <c r="E6" s="3">
        <v>8.8112700000000004</v>
      </c>
      <c r="F6" s="3">
        <v>-0.22696</v>
      </c>
      <c r="G6" s="4">
        <v>199.3</v>
      </c>
      <c r="H6" s="4">
        <v>71.599999999999994</v>
      </c>
      <c r="I6" s="4">
        <v>11.5</v>
      </c>
      <c r="J6" s="4" t="s">
        <v>75</v>
      </c>
      <c r="K6" s="4" t="s">
        <v>76</v>
      </c>
      <c r="L6" s="4" t="s">
        <v>94</v>
      </c>
      <c r="M6" s="4" t="s">
        <v>95</v>
      </c>
      <c r="N6" s="4">
        <v>3.79</v>
      </c>
      <c r="O6" s="4">
        <v>5.4</v>
      </c>
      <c r="P6" s="4">
        <v>0.05</v>
      </c>
      <c r="Q6" s="4">
        <v>0.34499999999999997</v>
      </c>
      <c r="R6" s="4">
        <v>0.501</v>
      </c>
      <c r="S6" s="4">
        <v>0.18</v>
      </c>
      <c r="T6">
        <v>0.29099999999999998</v>
      </c>
      <c r="U6" t="s">
        <v>79</v>
      </c>
      <c r="V6" t="s">
        <v>80</v>
      </c>
    </row>
    <row r="7" spans="1:22" x14ac:dyDescent="0.3">
      <c r="A7" t="s">
        <v>96</v>
      </c>
      <c r="B7" t="s">
        <v>47</v>
      </c>
      <c r="C7" t="s">
        <v>89</v>
      </c>
      <c r="D7" t="s">
        <v>97</v>
      </c>
      <c r="E7" s="3">
        <v>10.032640000000001</v>
      </c>
      <c r="F7" s="3">
        <v>7.2059999999999999E-2</v>
      </c>
      <c r="G7" s="4">
        <v>264</v>
      </c>
      <c r="H7" s="4">
        <v>97.8</v>
      </c>
      <c r="I7" s="4">
        <v>13.1</v>
      </c>
      <c r="J7" s="4" t="s">
        <v>75</v>
      </c>
      <c r="K7" s="4" t="s">
        <v>76</v>
      </c>
      <c r="L7" s="4" t="s">
        <v>77</v>
      </c>
      <c r="M7" s="4" t="s">
        <v>85</v>
      </c>
      <c r="N7" s="4">
        <v>1.04</v>
      </c>
      <c r="O7" s="4">
        <v>1.3</v>
      </c>
      <c r="P7" s="4">
        <v>2.99</v>
      </c>
      <c r="Q7" s="4">
        <v>0.42899999999999999</v>
      </c>
      <c r="R7" s="4">
        <v>0.629</v>
      </c>
      <c r="S7" s="4">
        <v>0.31</v>
      </c>
      <c r="T7">
        <v>0.16400000000000001</v>
      </c>
      <c r="U7" t="s">
        <v>79</v>
      </c>
      <c r="V7" t="s">
        <v>80</v>
      </c>
    </row>
    <row r="8" spans="1:22" x14ac:dyDescent="0.3">
      <c r="A8" t="s">
        <v>98</v>
      </c>
      <c r="B8" t="s">
        <v>47</v>
      </c>
      <c r="C8" t="s">
        <v>99</v>
      </c>
      <c r="D8" t="s">
        <v>100</v>
      </c>
      <c r="E8" s="3">
        <v>9.58127</v>
      </c>
      <c r="F8" s="3">
        <v>-0.38494</v>
      </c>
      <c r="G8" s="4">
        <v>301.10000000000002</v>
      </c>
      <c r="H8" s="4">
        <v>21.6</v>
      </c>
      <c r="I8" s="4">
        <v>18</v>
      </c>
      <c r="J8" s="4" t="s">
        <v>101</v>
      </c>
      <c r="K8" s="4" t="s">
        <v>102</v>
      </c>
      <c r="L8" s="4" t="s">
        <v>103</v>
      </c>
      <c r="M8" s="4" t="s">
        <v>91</v>
      </c>
      <c r="N8" s="4">
        <v>5.08</v>
      </c>
      <c r="O8" s="4">
        <v>0.42</v>
      </c>
      <c r="P8" s="4">
        <v>0.42</v>
      </c>
      <c r="Q8" s="4">
        <v>0.33200000000000002</v>
      </c>
      <c r="R8" s="4">
        <v>0.53200000000000003</v>
      </c>
      <c r="S8" s="4">
        <v>0.24199999999999999</v>
      </c>
      <c r="T8">
        <v>0.746</v>
      </c>
      <c r="U8" t="s">
        <v>104</v>
      </c>
      <c r="V8" t="s">
        <v>80</v>
      </c>
    </row>
    <row r="9" spans="1:22" x14ac:dyDescent="0.3">
      <c r="A9" t="s">
        <v>105</v>
      </c>
      <c r="B9" t="s">
        <v>47</v>
      </c>
      <c r="C9" t="s">
        <v>106</v>
      </c>
      <c r="D9" t="s">
        <v>107</v>
      </c>
      <c r="E9" s="3">
        <v>10.323230000000001</v>
      </c>
      <c r="F9" s="3">
        <v>-1.2661</v>
      </c>
      <c r="G9" s="4">
        <v>298.60000000000002</v>
      </c>
      <c r="H9" s="4">
        <v>97.3</v>
      </c>
      <c r="I9" s="4">
        <v>15.6</v>
      </c>
      <c r="J9" s="4" t="s">
        <v>75</v>
      </c>
      <c r="K9" s="4" t="s">
        <v>76</v>
      </c>
      <c r="L9" s="4" t="s">
        <v>84</v>
      </c>
      <c r="M9" s="4" t="s">
        <v>85</v>
      </c>
      <c r="N9" s="4">
        <v>8.15</v>
      </c>
      <c r="O9" s="4">
        <v>0.56999999999999995</v>
      </c>
      <c r="P9" s="4">
        <v>2.63</v>
      </c>
      <c r="Q9" s="4">
        <v>0.45200000000000001</v>
      </c>
      <c r="R9" s="4">
        <v>0.47</v>
      </c>
      <c r="S9" s="4">
        <v>4.9000000000000002E-2</v>
      </c>
      <c r="T9">
        <v>0.32800000000000001</v>
      </c>
      <c r="U9" t="s">
        <v>79</v>
      </c>
      <c r="V9" t="s">
        <v>80</v>
      </c>
    </row>
    <row r="10" spans="1:22" x14ac:dyDescent="0.3">
      <c r="A10" t="s">
        <v>108</v>
      </c>
      <c r="B10" t="s">
        <v>47</v>
      </c>
      <c r="C10" t="s">
        <v>89</v>
      </c>
      <c r="D10" t="s">
        <v>109</v>
      </c>
      <c r="E10" s="3">
        <v>9.5032599999999992</v>
      </c>
      <c r="F10" s="3">
        <v>-0.69428999999999996</v>
      </c>
      <c r="G10" s="4">
        <v>242.6</v>
      </c>
      <c r="H10" s="4">
        <v>20</v>
      </c>
      <c r="I10" s="4">
        <v>12.4</v>
      </c>
      <c r="J10" s="4" t="s">
        <v>75</v>
      </c>
      <c r="K10" s="4" t="s">
        <v>76</v>
      </c>
      <c r="L10" s="4" t="s">
        <v>84</v>
      </c>
      <c r="M10" s="4" t="s">
        <v>91</v>
      </c>
      <c r="N10" s="4">
        <v>1.82</v>
      </c>
      <c r="O10" s="4">
        <v>0.14000000000000001</v>
      </c>
      <c r="P10" s="4">
        <v>6.09</v>
      </c>
      <c r="Q10" s="4">
        <v>0.46899999999999997</v>
      </c>
      <c r="R10" s="4">
        <v>0.41199999999999998</v>
      </c>
      <c r="S10" s="4">
        <v>0.26300000000000001</v>
      </c>
      <c r="T10">
        <v>0.53</v>
      </c>
      <c r="U10" t="s">
        <v>79</v>
      </c>
      <c r="V10" t="s">
        <v>80</v>
      </c>
    </row>
    <row r="11" spans="1:22" x14ac:dyDescent="0.3">
      <c r="A11" t="s">
        <v>110</v>
      </c>
      <c r="B11" t="s">
        <v>47</v>
      </c>
      <c r="C11" t="s">
        <v>89</v>
      </c>
      <c r="D11" t="s">
        <v>111</v>
      </c>
      <c r="E11" s="3">
        <v>10.28687</v>
      </c>
      <c r="F11" s="3">
        <v>-1.3118399999999999</v>
      </c>
      <c r="G11" s="4">
        <v>217.7</v>
      </c>
      <c r="H11" s="4">
        <v>55</v>
      </c>
      <c r="I11" s="4">
        <v>13.3</v>
      </c>
      <c r="J11" s="4" t="s">
        <v>75</v>
      </c>
      <c r="K11" s="4" t="s">
        <v>76</v>
      </c>
      <c r="L11" s="4" t="s">
        <v>77</v>
      </c>
      <c r="M11" s="4" t="s">
        <v>91</v>
      </c>
      <c r="N11" s="4">
        <v>0.34</v>
      </c>
      <c r="O11" s="4">
        <v>1.94</v>
      </c>
      <c r="P11" s="4">
        <v>0.27</v>
      </c>
      <c r="Q11" s="4">
        <v>0.45300000000000001</v>
      </c>
      <c r="R11" s="4">
        <v>0.627</v>
      </c>
      <c r="S11" s="4">
        <v>0.26100000000000001</v>
      </c>
      <c r="T11">
        <v>0.52700000000000002</v>
      </c>
      <c r="U11" t="s">
        <v>79</v>
      </c>
      <c r="V11" t="s">
        <v>80</v>
      </c>
    </row>
    <row r="12" spans="1:22" x14ac:dyDescent="0.3">
      <c r="A12" t="s">
        <v>112</v>
      </c>
      <c r="B12" t="s">
        <v>47</v>
      </c>
      <c r="C12" t="s">
        <v>89</v>
      </c>
      <c r="D12" t="s">
        <v>113</v>
      </c>
      <c r="E12" s="3">
        <v>8.8926599999999993</v>
      </c>
      <c r="F12" s="3">
        <v>-1.85693</v>
      </c>
      <c r="G12" s="4">
        <v>281.8</v>
      </c>
      <c r="H12" s="4">
        <v>41.5</v>
      </c>
      <c r="I12" s="4">
        <v>17.7</v>
      </c>
      <c r="J12" s="4" t="s">
        <v>75</v>
      </c>
      <c r="K12" s="4" t="s">
        <v>76</v>
      </c>
      <c r="L12" s="4" t="s">
        <v>84</v>
      </c>
      <c r="M12" s="4" t="s">
        <v>91</v>
      </c>
      <c r="N12" s="4">
        <v>2.14</v>
      </c>
      <c r="O12" s="4">
        <v>2.17</v>
      </c>
      <c r="P12" s="4">
        <v>3.52</v>
      </c>
      <c r="Q12" s="4">
        <v>0.39800000000000002</v>
      </c>
      <c r="R12" s="4">
        <v>0.56799999999999995</v>
      </c>
      <c r="S12" s="4">
        <v>0.36699999999999999</v>
      </c>
      <c r="T12">
        <v>0.38700000000000001</v>
      </c>
      <c r="U12" t="s">
        <v>79</v>
      </c>
      <c r="V12" t="s">
        <v>80</v>
      </c>
    </row>
    <row r="13" spans="1:22" x14ac:dyDescent="0.3">
      <c r="A13" t="s">
        <v>114</v>
      </c>
      <c r="B13" t="s">
        <v>47</v>
      </c>
      <c r="C13" t="s">
        <v>82</v>
      </c>
      <c r="D13" t="s">
        <v>115</v>
      </c>
      <c r="E13" s="3">
        <v>9.1451700000000002</v>
      </c>
      <c r="F13" s="3">
        <v>-1.15876</v>
      </c>
      <c r="G13" s="4">
        <v>238</v>
      </c>
      <c r="H13" s="4">
        <v>60.5</v>
      </c>
      <c r="I13" s="4">
        <v>18.5</v>
      </c>
      <c r="J13" s="4" t="s">
        <v>101</v>
      </c>
      <c r="K13" s="4" t="s">
        <v>102</v>
      </c>
      <c r="L13" s="4" t="s">
        <v>116</v>
      </c>
      <c r="M13" s="4" t="s">
        <v>85</v>
      </c>
      <c r="N13" s="4">
        <v>6.96</v>
      </c>
      <c r="O13" s="4">
        <v>2.59</v>
      </c>
      <c r="P13" s="4">
        <v>0.18</v>
      </c>
      <c r="Q13" s="4">
        <v>0.42599999999999999</v>
      </c>
      <c r="R13" s="4">
        <v>0.52500000000000002</v>
      </c>
      <c r="S13" s="4">
        <v>0.47899999999999998</v>
      </c>
      <c r="T13">
        <v>0.38500000000000001</v>
      </c>
      <c r="U13" t="s">
        <v>79</v>
      </c>
      <c r="V13" t="s">
        <v>80</v>
      </c>
    </row>
    <row r="14" spans="1:22" x14ac:dyDescent="0.3">
      <c r="A14" t="s">
        <v>117</v>
      </c>
      <c r="B14" t="s">
        <v>47</v>
      </c>
      <c r="C14" t="s">
        <v>73</v>
      </c>
      <c r="D14" t="s">
        <v>118</v>
      </c>
      <c r="E14" s="3">
        <v>9.8828700000000005</v>
      </c>
      <c r="F14" s="3">
        <v>-0.71728999999999998</v>
      </c>
      <c r="G14" s="4">
        <v>274</v>
      </c>
      <c r="H14" s="4">
        <v>85.4</v>
      </c>
      <c r="I14" s="4">
        <v>30.4</v>
      </c>
      <c r="J14" s="4" t="s">
        <v>75</v>
      </c>
      <c r="K14" s="4" t="s">
        <v>76</v>
      </c>
      <c r="L14" s="4" t="s">
        <v>77</v>
      </c>
      <c r="M14" s="4" t="s">
        <v>85</v>
      </c>
      <c r="N14" s="4">
        <v>1.66</v>
      </c>
      <c r="O14" s="4">
        <v>0.45</v>
      </c>
      <c r="P14" s="4">
        <v>0.05</v>
      </c>
      <c r="Q14" s="4">
        <v>0.20699999999999999</v>
      </c>
      <c r="R14" s="4">
        <v>0.59899999999999998</v>
      </c>
      <c r="S14" s="4">
        <v>0.19400000000000001</v>
      </c>
      <c r="T14">
        <v>0.33800000000000002</v>
      </c>
      <c r="U14" t="s">
        <v>79</v>
      </c>
      <c r="V14" t="s">
        <v>80</v>
      </c>
    </row>
    <row r="15" spans="1:22" x14ac:dyDescent="0.3">
      <c r="A15" t="s">
        <v>119</v>
      </c>
      <c r="B15" t="s">
        <v>47</v>
      </c>
      <c r="C15" t="s">
        <v>120</v>
      </c>
      <c r="D15" t="s">
        <v>121</v>
      </c>
      <c r="E15" s="3">
        <v>8.9074200000000001</v>
      </c>
      <c r="F15" s="3">
        <v>-2.07986</v>
      </c>
      <c r="G15" s="4">
        <v>222.9</v>
      </c>
      <c r="H15" s="4">
        <v>47</v>
      </c>
      <c r="I15" s="4">
        <v>16.899999999999999</v>
      </c>
      <c r="J15" s="4" t="s">
        <v>75</v>
      </c>
      <c r="K15" s="4" t="s">
        <v>76</v>
      </c>
      <c r="L15" s="4" t="s">
        <v>84</v>
      </c>
      <c r="M15" s="4" t="s">
        <v>122</v>
      </c>
      <c r="N15" s="4">
        <v>16.989999999999998</v>
      </c>
      <c r="O15" s="4">
        <v>0.05</v>
      </c>
      <c r="P15" s="4">
        <v>0.25</v>
      </c>
      <c r="Q15" s="4">
        <v>0.18099999999999999</v>
      </c>
      <c r="R15" s="4">
        <v>0.53</v>
      </c>
      <c r="S15" s="4">
        <v>0.34699999999999998</v>
      </c>
      <c r="T15">
        <v>0.80200000000000005</v>
      </c>
      <c r="U15" t="s">
        <v>104</v>
      </c>
      <c r="V15" t="s">
        <v>80</v>
      </c>
    </row>
    <row r="16" spans="1:22" x14ac:dyDescent="0.3">
      <c r="A16" t="s">
        <v>123</v>
      </c>
      <c r="B16" t="s">
        <v>47</v>
      </c>
      <c r="C16" t="s">
        <v>82</v>
      </c>
      <c r="D16" t="s">
        <v>124</v>
      </c>
      <c r="E16" s="3">
        <v>10.204549999999999</v>
      </c>
      <c r="F16" s="3">
        <v>-2.25238</v>
      </c>
      <c r="G16" s="4">
        <v>308.39999999999998</v>
      </c>
      <c r="H16" s="4">
        <v>42.5</v>
      </c>
      <c r="I16" s="4">
        <v>12.2</v>
      </c>
      <c r="J16" s="4" t="s">
        <v>75</v>
      </c>
      <c r="K16" s="4" t="s">
        <v>76</v>
      </c>
      <c r="L16" s="4" t="s">
        <v>94</v>
      </c>
      <c r="M16" s="4" t="s">
        <v>122</v>
      </c>
      <c r="N16" s="4">
        <v>5.95</v>
      </c>
      <c r="O16" s="4">
        <v>0.15</v>
      </c>
      <c r="P16" s="4">
        <v>2.12</v>
      </c>
      <c r="Q16" s="4">
        <v>0.442</v>
      </c>
      <c r="R16" s="4">
        <v>0.65600000000000003</v>
      </c>
      <c r="S16" s="4">
        <v>0.40799999999999997</v>
      </c>
      <c r="T16">
        <v>0.56499999999999995</v>
      </c>
      <c r="U16" t="s">
        <v>79</v>
      </c>
      <c r="V16" t="s">
        <v>80</v>
      </c>
    </row>
    <row r="17" spans="1:22" x14ac:dyDescent="0.3">
      <c r="A17" t="s">
        <v>125</v>
      </c>
      <c r="B17" t="s">
        <v>47</v>
      </c>
      <c r="C17" t="s">
        <v>106</v>
      </c>
      <c r="D17" t="s">
        <v>126</v>
      </c>
      <c r="E17" s="3">
        <v>10.04964</v>
      </c>
      <c r="F17" s="3">
        <v>-0.88646999999999998</v>
      </c>
      <c r="G17" s="4">
        <v>249.3</v>
      </c>
      <c r="H17" s="4">
        <v>55.3</v>
      </c>
      <c r="I17" s="4">
        <v>17.3</v>
      </c>
      <c r="J17" s="4" t="s">
        <v>75</v>
      </c>
      <c r="K17" s="4" t="s">
        <v>76</v>
      </c>
      <c r="L17" s="4" t="s">
        <v>84</v>
      </c>
      <c r="M17" s="4" t="s">
        <v>78</v>
      </c>
      <c r="N17" s="4">
        <v>1.51</v>
      </c>
      <c r="O17" s="4">
        <v>1.81</v>
      </c>
      <c r="P17" s="4">
        <v>3.67</v>
      </c>
      <c r="Q17" s="4">
        <v>0.32800000000000001</v>
      </c>
      <c r="R17" s="4">
        <v>0.56599999999999995</v>
      </c>
      <c r="S17" s="4">
        <v>0.13600000000000001</v>
      </c>
      <c r="T17">
        <v>0.56399999999999995</v>
      </c>
      <c r="U17" t="s">
        <v>79</v>
      </c>
      <c r="V17" t="s">
        <v>80</v>
      </c>
    </row>
    <row r="18" spans="1:22" x14ac:dyDescent="0.3">
      <c r="A18" t="s">
        <v>127</v>
      </c>
      <c r="B18" t="s">
        <v>47</v>
      </c>
      <c r="C18" t="s">
        <v>82</v>
      </c>
      <c r="D18" t="s">
        <v>128</v>
      </c>
      <c r="E18" s="3">
        <v>9.8719000000000001</v>
      </c>
      <c r="F18" s="3">
        <v>-2.1726899999999998</v>
      </c>
      <c r="G18" s="4">
        <v>264.39999999999998</v>
      </c>
      <c r="H18" s="4">
        <v>60.2</v>
      </c>
      <c r="I18" s="4">
        <v>9.3000000000000007</v>
      </c>
      <c r="J18" s="4" t="s">
        <v>75</v>
      </c>
      <c r="K18" s="4" t="s">
        <v>76</v>
      </c>
      <c r="L18" s="4" t="s">
        <v>77</v>
      </c>
      <c r="M18" s="4" t="s">
        <v>91</v>
      </c>
      <c r="N18" s="4">
        <v>14.02</v>
      </c>
      <c r="O18" s="4">
        <v>0.91</v>
      </c>
      <c r="P18" s="4">
        <v>0.23</v>
      </c>
      <c r="Q18" s="4">
        <v>0.215</v>
      </c>
      <c r="R18" s="4">
        <v>0.55200000000000005</v>
      </c>
      <c r="S18" s="4">
        <v>0.312</v>
      </c>
      <c r="T18">
        <v>0.72299999999999998</v>
      </c>
      <c r="U18" t="s">
        <v>104</v>
      </c>
      <c r="V18" t="s">
        <v>80</v>
      </c>
    </row>
    <row r="19" spans="1:22" x14ac:dyDescent="0.3">
      <c r="A19" t="s">
        <v>129</v>
      </c>
      <c r="B19" t="s">
        <v>47</v>
      </c>
      <c r="C19" t="s">
        <v>73</v>
      </c>
      <c r="D19" t="s">
        <v>130</v>
      </c>
      <c r="E19" s="3">
        <v>9.8437199999999994</v>
      </c>
      <c r="F19" s="3">
        <v>-0.91276999999999997</v>
      </c>
      <c r="G19" s="4">
        <v>239.8</v>
      </c>
      <c r="H19" s="4">
        <v>32.4</v>
      </c>
      <c r="I19" s="4">
        <v>13.2</v>
      </c>
      <c r="J19" s="4" t="s">
        <v>75</v>
      </c>
      <c r="K19" s="4" t="s">
        <v>76</v>
      </c>
      <c r="L19" s="4" t="s">
        <v>77</v>
      </c>
      <c r="M19" s="4" t="s">
        <v>85</v>
      </c>
      <c r="N19" s="4">
        <v>8.8000000000000007</v>
      </c>
      <c r="O19" s="4">
        <v>0.35</v>
      </c>
      <c r="P19" s="4">
        <v>1.32</v>
      </c>
      <c r="Q19" s="4">
        <v>0.38900000000000001</v>
      </c>
      <c r="R19" s="4">
        <v>0.54100000000000004</v>
      </c>
      <c r="S19" s="4">
        <v>0.42099999999999999</v>
      </c>
      <c r="T19">
        <v>0.28499999999999998</v>
      </c>
      <c r="U19" t="s">
        <v>79</v>
      </c>
      <c r="V19" t="s">
        <v>80</v>
      </c>
    </row>
    <row r="20" spans="1:22" x14ac:dyDescent="0.3">
      <c r="A20" t="s">
        <v>131</v>
      </c>
      <c r="B20" t="s">
        <v>47</v>
      </c>
      <c r="C20" t="s">
        <v>82</v>
      </c>
      <c r="D20" t="s">
        <v>132</v>
      </c>
      <c r="E20" s="3">
        <v>9.6660900000000005</v>
      </c>
      <c r="F20" s="3">
        <v>-0.74429000000000001</v>
      </c>
      <c r="G20" s="4">
        <v>257.8</v>
      </c>
      <c r="H20" s="4">
        <v>25.6</v>
      </c>
      <c r="I20" s="4">
        <v>8.3000000000000007</v>
      </c>
      <c r="J20" s="4" t="s">
        <v>101</v>
      </c>
      <c r="K20" s="4" t="s">
        <v>102</v>
      </c>
      <c r="L20" s="4" t="s">
        <v>116</v>
      </c>
      <c r="M20" s="4" t="s">
        <v>85</v>
      </c>
      <c r="N20" s="4">
        <v>0.15</v>
      </c>
      <c r="O20" s="4">
        <v>0.17</v>
      </c>
      <c r="P20" s="4">
        <v>1.23</v>
      </c>
      <c r="Q20" s="4">
        <v>0.437</v>
      </c>
      <c r="R20" s="4">
        <v>0.57299999999999995</v>
      </c>
      <c r="S20" s="4">
        <v>0.374</v>
      </c>
      <c r="T20">
        <v>0.27500000000000002</v>
      </c>
      <c r="U20" t="s">
        <v>79</v>
      </c>
      <c r="V20" t="s">
        <v>80</v>
      </c>
    </row>
    <row r="21" spans="1:22" x14ac:dyDescent="0.3">
      <c r="A21" t="s">
        <v>133</v>
      </c>
      <c r="B21" t="s">
        <v>47</v>
      </c>
      <c r="C21" t="s">
        <v>134</v>
      </c>
      <c r="D21" t="s">
        <v>135</v>
      </c>
      <c r="E21" s="3">
        <v>8.7048100000000002</v>
      </c>
      <c r="F21" s="3">
        <v>-1.7717000000000001</v>
      </c>
      <c r="G21" s="4">
        <v>230.9</v>
      </c>
      <c r="H21" s="4">
        <v>99.9</v>
      </c>
      <c r="I21" s="4">
        <v>19.399999999999999</v>
      </c>
      <c r="J21" s="4" t="s">
        <v>75</v>
      </c>
      <c r="K21" s="4" t="s">
        <v>76</v>
      </c>
      <c r="L21" s="4" t="s">
        <v>94</v>
      </c>
      <c r="M21" s="4" t="s">
        <v>78</v>
      </c>
      <c r="N21" s="4">
        <v>5.98</v>
      </c>
      <c r="O21" s="4">
        <v>0.12</v>
      </c>
      <c r="P21" s="4">
        <v>3.05</v>
      </c>
      <c r="Q21" s="4">
        <v>0.20699999999999999</v>
      </c>
      <c r="R21" s="4">
        <v>0.61299999999999999</v>
      </c>
      <c r="S21" s="4">
        <v>0.22500000000000001</v>
      </c>
      <c r="T21">
        <v>0.44800000000000001</v>
      </c>
      <c r="U21" t="s">
        <v>79</v>
      </c>
      <c r="V21" t="s">
        <v>80</v>
      </c>
    </row>
    <row r="22" spans="1:22" x14ac:dyDescent="0.3">
      <c r="A22" t="s">
        <v>136</v>
      </c>
      <c r="B22" t="s">
        <v>47</v>
      </c>
      <c r="C22" t="s">
        <v>82</v>
      </c>
      <c r="D22" t="s">
        <v>137</v>
      </c>
      <c r="E22" s="3">
        <v>8.8621300000000005</v>
      </c>
      <c r="F22" s="3">
        <v>-2.1938499999999999</v>
      </c>
      <c r="G22" s="4">
        <v>260.2</v>
      </c>
      <c r="H22" s="4">
        <v>51.9</v>
      </c>
      <c r="I22" s="4">
        <v>17.600000000000001</v>
      </c>
      <c r="J22" s="4" t="s">
        <v>75</v>
      </c>
      <c r="K22" s="4" t="s">
        <v>76</v>
      </c>
      <c r="L22" s="4" t="s">
        <v>77</v>
      </c>
      <c r="M22" s="4" t="s">
        <v>85</v>
      </c>
      <c r="N22" s="4">
        <v>11.83</v>
      </c>
      <c r="O22" s="4">
        <v>1.51</v>
      </c>
      <c r="P22" s="4">
        <v>1.19</v>
      </c>
      <c r="Q22" s="4">
        <v>0.40300000000000002</v>
      </c>
      <c r="R22" s="4">
        <v>0.51600000000000001</v>
      </c>
      <c r="S22" s="4">
        <v>0.30499999999999999</v>
      </c>
      <c r="T22">
        <v>0.11799999999999999</v>
      </c>
      <c r="U22" t="s">
        <v>79</v>
      </c>
      <c r="V22" t="s">
        <v>80</v>
      </c>
    </row>
    <row r="23" spans="1:22" x14ac:dyDescent="0.3">
      <c r="A23" t="s">
        <v>138</v>
      </c>
      <c r="B23" t="s">
        <v>47</v>
      </c>
      <c r="C23" t="s">
        <v>89</v>
      </c>
      <c r="D23" t="s">
        <v>139</v>
      </c>
      <c r="E23" s="3">
        <v>9.4922799999999992</v>
      </c>
      <c r="F23" s="3">
        <v>-0.23757</v>
      </c>
      <c r="G23" s="4">
        <v>294.39999999999998</v>
      </c>
      <c r="H23" s="4">
        <v>79</v>
      </c>
      <c r="I23" s="4">
        <v>10.1</v>
      </c>
      <c r="J23" s="4" t="s">
        <v>75</v>
      </c>
      <c r="K23" s="4" t="s">
        <v>76</v>
      </c>
      <c r="L23" s="4" t="s">
        <v>77</v>
      </c>
      <c r="M23" s="4" t="s">
        <v>122</v>
      </c>
      <c r="N23" s="4">
        <v>2.89</v>
      </c>
      <c r="O23" s="4">
        <v>0.23</v>
      </c>
      <c r="P23" s="4">
        <v>0.38</v>
      </c>
      <c r="Q23" s="4">
        <v>0.64500000000000002</v>
      </c>
      <c r="R23" s="4">
        <v>0.60099999999999998</v>
      </c>
      <c r="S23" s="4">
        <v>0.42799999999999999</v>
      </c>
      <c r="T23">
        <v>0.69099999999999995</v>
      </c>
      <c r="U23" t="s">
        <v>104</v>
      </c>
      <c r="V23" t="s">
        <v>80</v>
      </c>
    </row>
    <row r="24" spans="1:22" x14ac:dyDescent="0.3">
      <c r="A24" t="s">
        <v>140</v>
      </c>
      <c r="B24" t="s">
        <v>47</v>
      </c>
      <c r="C24" t="s">
        <v>120</v>
      </c>
      <c r="D24" t="s">
        <v>141</v>
      </c>
      <c r="E24" s="3">
        <v>8.8705599999999993</v>
      </c>
      <c r="F24" s="3">
        <v>-0.65646000000000004</v>
      </c>
      <c r="G24" s="4">
        <v>206.7</v>
      </c>
      <c r="H24" s="4">
        <v>87.5</v>
      </c>
      <c r="I24" s="4">
        <v>9.1999999999999993</v>
      </c>
      <c r="J24" s="4" t="s">
        <v>142</v>
      </c>
      <c r="K24" s="4" t="s">
        <v>143</v>
      </c>
      <c r="L24" s="4" t="s">
        <v>144</v>
      </c>
      <c r="M24" s="4" t="s">
        <v>78</v>
      </c>
      <c r="N24" s="4">
        <v>4.84</v>
      </c>
      <c r="O24" s="4">
        <v>2.5</v>
      </c>
      <c r="P24" s="4">
        <v>0.81</v>
      </c>
      <c r="Q24" s="4">
        <v>0.32200000000000001</v>
      </c>
      <c r="R24" s="4">
        <v>0.59099999999999997</v>
      </c>
      <c r="S24" s="4">
        <v>8.4000000000000005E-2</v>
      </c>
      <c r="T24">
        <v>0.52800000000000002</v>
      </c>
      <c r="U24" t="s">
        <v>79</v>
      </c>
      <c r="V24" t="s">
        <v>80</v>
      </c>
    </row>
    <row r="25" spans="1:22" x14ac:dyDescent="0.3">
      <c r="A25" t="s">
        <v>145</v>
      </c>
      <c r="B25" t="s">
        <v>47</v>
      </c>
      <c r="C25" t="s">
        <v>134</v>
      </c>
      <c r="D25" t="s">
        <v>146</v>
      </c>
      <c r="E25" s="3">
        <v>9.7414400000000008</v>
      </c>
      <c r="F25" s="3">
        <v>-1.681</v>
      </c>
      <c r="G25" s="4">
        <v>253.9</v>
      </c>
      <c r="H25" s="4">
        <v>55.1</v>
      </c>
      <c r="I25" s="4">
        <v>11.4</v>
      </c>
      <c r="J25" s="4" t="s">
        <v>142</v>
      </c>
      <c r="K25" s="4" t="s">
        <v>143</v>
      </c>
      <c r="L25" s="4" t="s">
        <v>147</v>
      </c>
      <c r="M25" s="4" t="s">
        <v>78</v>
      </c>
      <c r="N25" s="4">
        <v>0.9</v>
      </c>
      <c r="O25" s="4">
        <v>0.86</v>
      </c>
      <c r="P25" s="4">
        <v>3.89</v>
      </c>
      <c r="Q25" s="4">
        <v>0.443</v>
      </c>
      <c r="R25" s="4">
        <v>0.58499999999999996</v>
      </c>
      <c r="S25" s="4">
        <v>0.27200000000000002</v>
      </c>
      <c r="T25">
        <v>0.622</v>
      </c>
      <c r="U25" t="s">
        <v>104</v>
      </c>
      <c r="V25" t="s">
        <v>80</v>
      </c>
    </row>
    <row r="26" spans="1:22" x14ac:dyDescent="0.3">
      <c r="A26" t="s">
        <v>148</v>
      </c>
      <c r="B26" t="s">
        <v>47</v>
      </c>
      <c r="C26" t="s">
        <v>120</v>
      </c>
      <c r="D26" t="s">
        <v>149</v>
      </c>
      <c r="E26" s="3">
        <v>10.34798</v>
      </c>
      <c r="F26" s="3">
        <v>0.19067999999999999</v>
      </c>
      <c r="G26" s="4">
        <v>278.5</v>
      </c>
      <c r="H26" s="4">
        <v>46</v>
      </c>
      <c r="I26" s="4">
        <v>16.100000000000001</v>
      </c>
      <c r="J26" s="4" t="s">
        <v>75</v>
      </c>
      <c r="K26" s="4" t="s">
        <v>76</v>
      </c>
      <c r="L26" s="4" t="s">
        <v>84</v>
      </c>
      <c r="M26" s="4" t="s">
        <v>91</v>
      </c>
      <c r="N26" s="4">
        <v>10.17</v>
      </c>
      <c r="O26" s="4">
        <v>2.87</v>
      </c>
      <c r="P26" s="4">
        <v>0.05</v>
      </c>
      <c r="Q26" s="4">
        <v>0.307</v>
      </c>
      <c r="R26" s="4">
        <v>0.52700000000000002</v>
      </c>
      <c r="S26" s="4">
        <v>0.19400000000000001</v>
      </c>
      <c r="T26">
        <v>0.59799999999999998</v>
      </c>
      <c r="U26" t="s">
        <v>79</v>
      </c>
      <c r="V26" t="s">
        <v>80</v>
      </c>
    </row>
    <row r="27" spans="1:22" x14ac:dyDescent="0.3">
      <c r="A27" t="s">
        <v>150</v>
      </c>
      <c r="B27" t="s">
        <v>47</v>
      </c>
      <c r="C27" t="s">
        <v>134</v>
      </c>
      <c r="D27" t="s">
        <v>151</v>
      </c>
      <c r="E27" s="3">
        <v>9.2976899999999993</v>
      </c>
      <c r="F27" s="3">
        <v>-2.0971299999999999</v>
      </c>
      <c r="G27" s="4">
        <v>196.2</v>
      </c>
      <c r="H27" s="4">
        <v>36.5</v>
      </c>
      <c r="I27" s="4">
        <v>17.899999999999999</v>
      </c>
      <c r="J27" s="4" t="s">
        <v>142</v>
      </c>
      <c r="K27" s="4" t="s">
        <v>143</v>
      </c>
      <c r="L27" s="4" t="s">
        <v>147</v>
      </c>
      <c r="M27" s="4" t="s">
        <v>91</v>
      </c>
      <c r="N27" s="4">
        <v>2.86</v>
      </c>
      <c r="O27" s="4">
        <v>2.08</v>
      </c>
      <c r="P27" s="4">
        <v>0.83</v>
      </c>
      <c r="Q27" s="4">
        <v>0.33200000000000002</v>
      </c>
      <c r="R27" s="4">
        <v>0.47199999999999998</v>
      </c>
      <c r="S27" s="4">
        <v>0.27800000000000002</v>
      </c>
      <c r="T27">
        <v>0.64400000000000002</v>
      </c>
      <c r="U27" t="s">
        <v>104</v>
      </c>
      <c r="V27" t="s">
        <v>80</v>
      </c>
    </row>
    <row r="28" spans="1:22" x14ac:dyDescent="0.3">
      <c r="A28" t="s">
        <v>152</v>
      </c>
      <c r="B28" t="s">
        <v>47</v>
      </c>
      <c r="C28" t="s">
        <v>82</v>
      </c>
      <c r="D28" t="s">
        <v>153</v>
      </c>
      <c r="E28" s="3">
        <v>10.402430000000001</v>
      </c>
      <c r="F28" s="3">
        <v>-1.2470300000000001</v>
      </c>
      <c r="G28" s="4">
        <v>293.3</v>
      </c>
      <c r="H28" s="4">
        <v>88.4</v>
      </c>
      <c r="I28" s="4">
        <v>16.3</v>
      </c>
      <c r="J28" s="4" t="s">
        <v>75</v>
      </c>
      <c r="K28" s="4" t="s">
        <v>76</v>
      </c>
      <c r="L28" s="4" t="s">
        <v>77</v>
      </c>
      <c r="M28" s="4" t="s">
        <v>85</v>
      </c>
      <c r="N28" s="4">
        <v>10.27</v>
      </c>
      <c r="O28" s="4">
        <v>0.55000000000000004</v>
      </c>
      <c r="P28" s="4">
        <v>1.93</v>
      </c>
      <c r="Q28" s="4">
        <v>0.42299999999999999</v>
      </c>
      <c r="R28" s="4">
        <v>0.65800000000000003</v>
      </c>
      <c r="S28" s="4">
        <v>0.121</v>
      </c>
      <c r="T28">
        <v>0.19500000000000001</v>
      </c>
      <c r="U28" t="s">
        <v>79</v>
      </c>
      <c r="V28" t="s">
        <v>80</v>
      </c>
    </row>
    <row r="29" spans="1:22" x14ac:dyDescent="0.3">
      <c r="A29" t="s">
        <v>154</v>
      </c>
      <c r="B29" t="s">
        <v>47</v>
      </c>
      <c r="C29" t="s">
        <v>99</v>
      </c>
      <c r="D29" t="s">
        <v>155</v>
      </c>
      <c r="E29" s="3">
        <v>8.9497800000000005</v>
      </c>
      <c r="F29" s="3">
        <v>-1.08097</v>
      </c>
      <c r="G29" s="4">
        <v>196.6</v>
      </c>
      <c r="H29" s="4">
        <v>61.2</v>
      </c>
      <c r="I29" s="4">
        <v>22</v>
      </c>
      <c r="J29" s="4" t="s">
        <v>75</v>
      </c>
      <c r="K29" s="4" t="s">
        <v>76</v>
      </c>
      <c r="L29" s="4" t="s">
        <v>84</v>
      </c>
      <c r="M29" s="4" t="s">
        <v>78</v>
      </c>
      <c r="N29" s="4">
        <v>0.1</v>
      </c>
      <c r="O29" s="4">
        <v>2.06</v>
      </c>
      <c r="P29" s="4">
        <v>0.26</v>
      </c>
      <c r="Q29" s="4">
        <v>0.35299999999999998</v>
      </c>
      <c r="R29" s="4">
        <v>0.60799999999999998</v>
      </c>
      <c r="S29" s="4">
        <v>0.16900000000000001</v>
      </c>
      <c r="T29">
        <v>0.55700000000000005</v>
      </c>
      <c r="U29" t="s">
        <v>79</v>
      </c>
      <c r="V29" t="s">
        <v>80</v>
      </c>
    </row>
    <row r="30" spans="1:22" x14ac:dyDescent="0.3">
      <c r="A30" t="s">
        <v>156</v>
      </c>
      <c r="B30" t="s">
        <v>47</v>
      </c>
      <c r="C30" t="s">
        <v>82</v>
      </c>
      <c r="D30" t="s">
        <v>157</v>
      </c>
      <c r="E30" s="3">
        <v>8.8679799999999993</v>
      </c>
      <c r="F30" s="3">
        <v>-1.25573</v>
      </c>
      <c r="G30" s="4">
        <v>251.8</v>
      </c>
      <c r="H30" s="4">
        <v>31.6</v>
      </c>
      <c r="I30" s="4">
        <v>35</v>
      </c>
      <c r="J30" s="4" t="s">
        <v>142</v>
      </c>
      <c r="K30" s="4" t="s">
        <v>143</v>
      </c>
      <c r="L30" s="4" t="s">
        <v>147</v>
      </c>
      <c r="M30" s="4" t="s">
        <v>85</v>
      </c>
      <c r="N30" s="4">
        <v>16.64</v>
      </c>
      <c r="O30" s="4">
        <v>0.09</v>
      </c>
      <c r="P30" s="4">
        <v>2.2599999999999998</v>
      </c>
      <c r="Q30" s="4">
        <v>0.13400000000000001</v>
      </c>
      <c r="R30" s="4">
        <v>0.54800000000000004</v>
      </c>
      <c r="S30" s="4">
        <v>0.14299999999999999</v>
      </c>
      <c r="T30">
        <v>0.17399999999999999</v>
      </c>
      <c r="U30" t="s">
        <v>79</v>
      </c>
      <c r="V30" t="s">
        <v>80</v>
      </c>
    </row>
    <row r="31" spans="1:22" x14ac:dyDescent="0.3">
      <c r="A31" t="s">
        <v>158</v>
      </c>
      <c r="B31" t="s">
        <v>47</v>
      </c>
      <c r="C31" t="s">
        <v>106</v>
      </c>
      <c r="D31" t="s">
        <v>159</v>
      </c>
      <c r="E31" s="3">
        <v>9.9496900000000004</v>
      </c>
      <c r="F31" s="3">
        <v>3.4189999999999998E-2</v>
      </c>
      <c r="G31" s="4">
        <v>249.8</v>
      </c>
      <c r="H31" s="4">
        <v>79.900000000000006</v>
      </c>
      <c r="I31" s="4">
        <v>14.5</v>
      </c>
      <c r="J31" s="4" t="s">
        <v>101</v>
      </c>
      <c r="K31" s="4" t="s">
        <v>102</v>
      </c>
      <c r="L31" s="4" t="s">
        <v>116</v>
      </c>
      <c r="M31" s="4" t="s">
        <v>91</v>
      </c>
      <c r="N31" s="4">
        <v>4.18</v>
      </c>
      <c r="O31" s="4">
        <v>2.15</v>
      </c>
      <c r="P31" s="4">
        <v>2.34</v>
      </c>
      <c r="Q31" s="4">
        <v>0.52200000000000002</v>
      </c>
      <c r="R31" s="4">
        <v>0.63900000000000001</v>
      </c>
      <c r="S31" s="4">
        <v>0.33</v>
      </c>
      <c r="T31">
        <v>0.184</v>
      </c>
      <c r="U31" t="s">
        <v>79</v>
      </c>
      <c r="V31" t="s">
        <v>80</v>
      </c>
    </row>
    <row r="32" spans="1:22" x14ac:dyDescent="0.3">
      <c r="A32" t="s">
        <v>160</v>
      </c>
      <c r="B32" t="s">
        <v>47</v>
      </c>
      <c r="C32" t="s">
        <v>82</v>
      </c>
      <c r="D32" t="s">
        <v>161</v>
      </c>
      <c r="E32" s="3">
        <v>9.9686000000000003</v>
      </c>
      <c r="F32" s="3">
        <v>-0.60363</v>
      </c>
      <c r="G32" s="4">
        <v>232.7</v>
      </c>
      <c r="H32" s="4">
        <v>57.4</v>
      </c>
      <c r="I32" s="4">
        <v>16.600000000000001</v>
      </c>
      <c r="J32" s="4" t="s">
        <v>75</v>
      </c>
      <c r="K32" s="4" t="s">
        <v>76</v>
      </c>
      <c r="L32" s="4" t="s">
        <v>94</v>
      </c>
      <c r="M32" s="4" t="s">
        <v>122</v>
      </c>
      <c r="N32" s="4">
        <v>1</v>
      </c>
      <c r="O32" s="4">
        <v>0.81</v>
      </c>
      <c r="P32" s="4">
        <v>0.1</v>
      </c>
      <c r="Q32" s="4">
        <v>0.4</v>
      </c>
      <c r="R32" s="4">
        <v>0.65400000000000003</v>
      </c>
      <c r="S32" s="4">
        <v>0.33500000000000002</v>
      </c>
      <c r="T32">
        <v>0.64100000000000001</v>
      </c>
      <c r="U32" t="s">
        <v>104</v>
      </c>
      <c r="V32" t="s">
        <v>80</v>
      </c>
    </row>
    <row r="33" spans="1:22" x14ac:dyDescent="0.3">
      <c r="A33" t="s">
        <v>162</v>
      </c>
      <c r="B33" t="s">
        <v>47</v>
      </c>
      <c r="C33" t="s">
        <v>134</v>
      </c>
      <c r="D33" t="s">
        <v>163</v>
      </c>
      <c r="E33" s="3">
        <v>10.002179999999999</v>
      </c>
      <c r="F33" s="3">
        <v>0.17252000000000001</v>
      </c>
      <c r="G33" s="4">
        <v>289.3</v>
      </c>
      <c r="H33" s="4">
        <v>61.9</v>
      </c>
      <c r="I33" s="4">
        <v>10.7</v>
      </c>
      <c r="J33" s="4" t="s">
        <v>142</v>
      </c>
      <c r="K33" s="4" t="s">
        <v>143</v>
      </c>
      <c r="L33" s="4" t="s">
        <v>147</v>
      </c>
      <c r="M33" s="4" t="s">
        <v>122</v>
      </c>
      <c r="N33" s="4">
        <v>3.28</v>
      </c>
      <c r="O33" s="4">
        <v>4.5999999999999996</v>
      </c>
      <c r="P33" s="4">
        <v>1.78</v>
      </c>
      <c r="Q33" s="4">
        <v>0.63600000000000001</v>
      </c>
      <c r="R33" s="4">
        <v>0.51900000000000002</v>
      </c>
      <c r="S33" s="4">
        <v>0.22700000000000001</v>
      </c>
      <c r="T33">
        <v>0.40899999999999997</v>
      </c>
      <c r="U33" t="s">
        <v>79</v>
      </c>
      <c r="V33" t="s">
        <v>80</v>
      </c>
    </row>
    <row r="34" spans="1:22" x14ac:dyDescent="0.3">
      <c r="A34" t="s">
        <v>164</v>
      </c>
      <c r="B34" t="s">
        <v>47</v>
      </c>
      <c r="C34" t="s">
        <v>99</v>
      </c>
      <c r="D34" t="s">
        <v>165</v>
      </c>
      <c r="E34" s="3">
        <v>8.9642400000000002</v>
      </c>
      <c r="F34" s="3">
        <v>-2.2123400000000002</v>
      </c>
      <c r="G34" s="4">
        <v>239.7</v>
      </c>
      <c r="H34" s="4">
        <v>53.7</v>
      </c>
      <c r="I34" s="4">
        <v>25.5</v>
      </c>
      <c r="J34" s="4" t="s">
        <v>101</v>
      </c>
      <c r="K34" s="4" t="s">
        <v>102</v>
      </c>
      <c r="L34" s="4" t="s">
        <v>116</v>
      </c>
      <c r="M34" s="4" t="s">
        <v>91</v>
      </c>
      <c r="N34" s="4">
        <v>2.37</v>
      </c>
      <c r="O34" s="4">
        <v>2.1</v>
      </c>
      <c r="P34" s="4">
        <v>6.26</v>
      </c>
      <c r="Q34" s="4">
        <v>0.33200000000000002</v>
      </c>
      <c r="R34" s="4">
        <v>0.40600000000000003</v>
      </c>
      <c r="S34" s="4">
        <v>0.34300000000000003</v>
      </c>
      <c r="T34">
        <v>0.223</v>
      </c>
      <c r="U34" t="s">
        <v>79</v>
      </c>
      <c r="V34" t="s">
        <v>80</v>
      </c>
    </row>
    <row r="35" spans="1:22" x14ac:dyDescent="0.3">
      <c r="A35" t="s">
        <v>166</v>
      </c>
      <c r="B35" t="s">
        <v>47</v>
      </c>
      <c r="C35" t="s">
        <v>167</v>
      </c>
      <c r="D35" t="s">
        <v>168</v>
      </c>
      <c r="E35" s="3">
        <v>9.4963700000000006</v>
      </c>
      <c r="F35" s="3">
        <v>-1.0176400000000001</v>
      </c>
      <c r="G35" s="4">
        <v>278.7</v>
      </c>
      <c r="H35" s="4">
        <v>60.3</v>
      </c>
      <c r="I35" s="4">
        <v>19.3</v>
      </c>
      <c r="J35" s="4" t="s">
        <v>75</v>
      </c>
      <c r="K35" s="4" t="s">
        <v>76</v>
      </c>
      <c r="L35" s="4" t="s">
        <v>84</v>
      </c>
      <c r="M35" s="4" t="s">
        <v>91</v>
      </c>
      <c r="N35" s="4">
        <v>3</v>
      </c>
      <c r="O35" s="4">
        <v>0.63</v>
      </c>
      <c r="P35" s="4">
        <v>4.1500000000000004</v>
      </c>
      <c r="Q35" s="4">
        <v>0.371</v>
      </c>
      <c r="R35" s="4">
        <v>0.54100000000000004</v>
      </c>
      <c r="S35" s="4">
        <v>0.14799999999999999</v>
      </c>
      <c r="T35">
        <v>0.624</v>
      </c>
      <c r="U35" t="s">
        <v>104</v>
      </c>
      <c r="V35" t="s">
        <v>80</v>
      </c>
    </row>
    <row r="36" spans="1:22" x14ac:dyDescent="0.3">
      <c r="A36" t="s">
        <v>169</v>
      </c>
      <c r="B36" t="s">
        <v>47</v>
      </c>
      <c r="C36" t="s">
        <v>73</v>
      </c>
      <c r="D36" t="s">
        <v>170</v>
      </c>
      <c r="E36" s="3">
        <v>8.6816600000000008</v>
      </c>
      <c r="F36" s="3">
        <v>-0.86153999999999997</v>
      </c>
      <c r="G36" s="4">
        <v>232.2</v>
      </c>
      <c r="H36" s="4">
        <v>60.8</v>
      </c>
      <c r="I36" s="4">
        <v>20.6</v>
      </c>
      <c r="J36" s="4" t="s">
        <v>75</v>
      </c>
      <c r="K36" s="4" t="s">
        <v>76</v>
      </c>
      <c r="L36" s="4" t="s">
        <v>94</v>
      </c>
      <c r="M36" s="4" t="s">
        <v>122</v>
      </c>
      <c r="N36" s="4">
        <v>4.5999999999999996</v>
      </c>
      <c r="O36" s="4">
        <v>3.42</v>
      </c>
      <c r="P36" s="4">
        <v>2.2599999999999998</v>
      </c>
      <c r="Q36" s="4">
        <v>0.436</v>
      </c>
      <c r="R36" s="4">
        <v>0.64600000000000002</v>
      </c>
      <c r="S36" s="4">
        <v>0.20499999999999999</v>
      </c>
      <c r="T36">
        <v>0.33700000000000002</v>
      </c>
      <c r="U36" t="s">
        <v>79</v>
      </c>
      <c r="V36" t="s">
        <v>80</v>
      </c>
    </row>
    <row r="37" spans="1:22" x14ac:dyDescent="0.3">
      <c r="A37" t="s">
        <v>171</v>
      </c>
      <c r="B37" t="s">
        <v>47</v>
      </c>
      <c r="C37" t="s">
        <v>82</v>
      </c>
      <c r="D37" t="s">
        <v>172</v>
      </c>
      <c r="E37" s="3">
        <v>8.8998200000000001</v>
      </c>
      <c r="F37" s="3">
        <v>-1.8452</v>
      </c>
      <c r="G37" s="4">
        <v>205.2</v>
      </c>
      <c r="H37" s="4">
        <v>62.8</v>
      </c>
      <c r="I37" s="4">
        <v>17.3</v>
      </c>
      <c r="J37" s="4" t="s">
        <v>75</v>
      </c>
      <c r="K37" s="4" t="s">
        <v>76</v>
      </c>
      <c r="L37" s="4" t="s">
        <v>77</v>
      </c>
      <c r="M37" s="4" t="s">
        <v>78</v>
      </c>
      <c r="N37" s="4">
        <v>2.44</v>
      </c>
      <c r="O37" s="4">
        <v>1.31</v>
      </c>
      <c r="P37" s="4">
        <v>4.54</v>
      </c>
      <c r="Q37" s="4">
        <v>0.40200000000000002</v>
      </c>
      <c r="R37" s="4">
        <v>0.61899999999999999</v>
      </c>
      <c r="S37" s="4">
        <v>0.54600000000000004</v>
      </c>
      <c r="T37">
        <v>0.38800000000000001</v>
      </c>
      <c r="U37" t="s">
        <v>79</v>
      </c>
      <c r="V37" t="s">
        <v>80</v>
      </c>
    </row>
    <row r="38" spans="1:22" x14ac:dyDescent="0.3">
      <c r="A38" t="s">
        <v>173</v>
      </c>
      <c r="B38" t="s">
        <v>47</v>
      </c>
      <c r="C38" t="s">
        <v>82</v>
      </c>
      <c r="D38" t="s">
        <v>174</v>
      </c>
      <c r="E38" s="3">
        <v>9.8082600000000006</v>
      </c>
      <c r="F38" s="3">
        <v>-0.53390000000000004</v>
      </c>
      <c r="G38" s="4">
        <v>291.39999999999998</v>
      </c>
      <c r="H38" s="4">
        <v>20</v>
      </c>
      <c r="I38" s="4">
        <v>9.9</v>
      </c>
      <c r="J38" s="4" t="s">
        <v>101</v>
      </c>
      <c r="K38" s="4" t="s">
        <v>102</v>
      </c>
      <c r="L38" s="4" t="s">
        <v>103</v>
      </c>
      <c r="M38" s="4" t="s">
        <v>78</v>
      </c>
      <c r="N38" s="4">
        <v>7.57</v>
      </c>
      <c r="O38" s="4">
        <v>1.95</v>
      </c>
      <c r="P38" s="4">
        <v>1.99</v>
      </c>
      <c r="Q38" s="4">
        <v>0.38200000000000001</v>
      </c>
      <c r="R38" s="4">
        <v>0.60599999999999998</v>
      </c>
      <c r="S38" s="4">
        <v>0.32500000000000001</v>
      </c>
      <c r="T38">
        <v>0.47099999999999997</v>
      </c>
      <c r="U38" t="s">
        <v>79</v>
      </c>
      <c r="V38" t="s">
        <v>80</v>
      </c>
    </row>
    <row r="39" spans="1:22" x14ac:dyDescent="0.3">
      <c r="A39" t="s">
        <v>175</v>
      </c>
      <c r="B39" t="s">
        <v>47</v>
      </c>
      <c r="C39" t="s">
        <v>120</v>
      </c>
      <c r="D39" t="s">
        <v>176</v>
      </c>
      <c r="E39" s="3">
        <v>8.8586299999999998</v>
      </c>
      <c r="F39" s="3">
        <v>-0.38163000000000002</v>
      </c>
      <c r="G39" s="4">
        <v>253</v>
      </c>
      <c r="H39" s="4">
        <v>76</v>
      </c>
      <c r="I39" s="4">
        <v>26.5</v>
      </c>
      <c r="J39" s="4" t="s">
        <v>101</v>
      </c>
      <c r="K39" s="4" t="s">
        <v>102</v>
      </c>
      <c r="L39" s="4" t="s">
        <v>103</v>
      </c>
      <c r="M39" s="4" t="s">
        <v>85</v>
      </c>
      <c r="N39" s="4">
        <v>8.2100000000000009</v>
      </c>
      <c r="O39" s="4">
        <v>2.46</v>
      </c>
      <c r="P39" s="4">
        <v>0.43</v>
      </c>
      <c r="Q39" s="4">
        <v>0.12</v>
      </c>
      <c r="R39" s="4">
        <v>0.48599999999999999</v>
      </c>
      <c r="S39" s="4">
        <v>0.17599999999999999</v>
      </c>
      <c r="T39">
        <v>0.375</v>
      </c>
      <c r="U39" t="s">
        <v>79</v>
      </c>
      <c r="V39" t="s">
        <v>80</v>
      </c>
    </row>
    <row r="40" spans="1:22" x14ac:dyDescent="0.3">
      <c r="A40" t="s">
        <v>177</v>
      </c>
      <c r="B40" t="s">
        <v>47</v>
      </c>
      <c r="C40" t="s">
        <v>82</v>
      </c>
      <c r="D40" t="s">
        <v>178</v>
      </c>
      <c r="E40" s="3">
        <v>10.42914</v>
      </c>
      <c r="F40" s="3">
        <v>7.5490000000000002E-2</v>
      </c>
      <c r="G40" s="4">
        <v>270.3</v>
      </c>
      <c r="H40" s="4">
        <v>55.2</v>
      </c>
      <c r="I40" s="4">
        <v>22.6</v>
      </c>
      <c r="J40" s="4" t="s">
        <v>142</v>
      </c>
      <c r="K40" s="4" t="s">
        <v>143</v>
      </c>
      <c r="L40" s="4" t="s">
        <v>144</v>
      </c>
      <c r="M40" s="4" t="s">
        <v>91</v>
      </c>
      <c r="N40" s="4">
        <v>1.74</v>
      </c>
      <c r="O40" s="4">
        <v>0.17</v>
      </c>
      <c r="P40" s="4">
        <v>3.25</v>
      </c>
      <c r="Q40" s="4">
        <v>0.17499999999999999</v>
      </c>
      <c r="R40" s="4">
        <v>0.65800000000000003</v>
      </c>
      <c r="S40" s="4">
        <v>0.153</v>
      </c>
      <c r="T40">
        <v>0.39300000000000002</v>
      </c>
      <c r="U40" t="s">
        <v>79</v>
      </c>
      <c r="V40" t="s">
        <v>80</v>
      </c>
    </row>
    <row r="41" spans="1:22" x14ac:dyDescent="0.3">
      <c r="A41" t="s">
        <v>179</v>
      </c>
      <c r="B41" t="s">
        <v>47</v>
      </c>
      <c r="C41" t="s">
        <v>82</v>
      </c>
      <c r="D41" t="s">
        <v>180</v>
      </c>
      <c r="E41" s="3">
        <v>8.4706799999999998</v>
      </c>
      <c r="F41" s="3">
        <v>-1.28383</v>
      </c>
      <c r="G41" s="4">
        <v>167.2</v>
      </c>
      <c r="H41" s="4">
        <v>50.8</v>
      </c>
      <c r="I41" s="4">
        <v>14.4</v>
      </c>
      <c r="J41" s="4" t="s">
        <v>101</v>
      </c>
      <c r="K41" s="4" t="s">
        <v>102</v>
      </c>
      <c r="L41" s="4" t="s">
        <v>181</v>
      </c>
      <c r="M41" s="4" t="s">
        <v>91</v>
      </c>
      <c r="N41" s="4">
        <v>6.79</v>
      </c>
      <c r="O41" s="4">
        <v>3.09</v>
      </c>
      <c r="P41" s="4">
        <v>1.23</v>
      </c>
      <c r="Q41" s="4">
        <v>0.42099999999999999</v>
      </c>
      <c r="R41" s="4">
        <v>0.55600000000000005</v>
      </c>
      <c r="S41" s="4">
        <v>0.20100000000000001</v>
      </c>
      <c r="T41">
        <v>0.29899999999999999</v>
      </c>
      <c r="U41" t="s">
        <v>79</v>
      </c>
      <c r="V41" t="s">
        <v>80</v>
      </c>
    </row>
    <row r="42" spans="1:22" x14ac:dyDescent="0.3">
      <c r="A42" t="s">
        <v>182</v>
      </c>
      <c r="B42" t="s">
        <v>49</v>
      </c>
      <c r="C42" t="s">
        <v>183</v>
      </c>
      <c r="D42" t="s">
        <v>184</v>
      </c>
      <c r="E42" s="3">
        <v>10.4512</v>
      </c>
      <c r="F42" s="3">
        <v>8.7919999999999998E-2</v>
      </c>
      <c r="G42" s="4">
        <v>270.39999999999998</v>
      </c>
      <c r="H42" s="4">
        <v>44.1</v>
      </c>
      <c r="I42" s="4">
        <v>22.7</v>
      </c>
      <c r="J42" s="4" t="s">
        <v>142</v>
      </c>
      <c r="K42" s="4" t="s">
        <v>143</v>
      </c>
      <c r="L42" s="4" t="s">
        <v>185</v>
      </c>
      <c r="M42" s="4" t="s">
        <v>85</v>
      </c>
      <c r="N42" s="4">
        <v>1.29</v>
      </c>
      <c r="O42" s="4">
        <v>5.43</v>
      </c>
      <c r="P42" s="4">
        <v>1.33</v>
      </c>
      <c r="Q42" s="4">
        <v>0.21199999999999999</v>
      </c>
      <c r="R42" s="4">
        <v>0.6</v>
      </c>
      <c r="S42" s="4">
        <v>0.113</v>
      </c>
      <c r="T42">
        <v>5.5E-2</v>
      </c>
      <c r="U42" t="s">
        <v>79</v>
      </c>
      <c r="V42" t="s">
        <v>80</v>
      </c>
    </row>
    <row r="43" spans="1:22" x14ac:dyDescent="0.3">
      <c r="A43" t="s">
        <v>186</v>
      </c>
      <c r="B43" t="s">
        <v>49</v>
      </c>
      <c r="C43" t="s">
        <v>187</v>
      </c>
      <c r="D43" t="s">
        <v>188</v>
      </c>
      <c r="E43" s="3">
        <v>9.8981499999999993</v>
      </c>
      <c r="F43" s="3">
        <v>-0.30453999999999998</v>
      </c>
      <c r="G43" s="4">
        <v>246.5</v>
      </c>
      <c r="H43" s="4">
        <v>74.099999999999994</v>
      </c>
      <c r="I43" s="4">
        <v>7.8</v>
      </c>
      <c r="J43" s="4" t="s">
        <v>75</v>
      </c>
      <c r="K43" s="4" t="s">
        <v>76</v>
      </c>
      <c r="L43" s="4" t="s">
        <v>84</v>
      </c>
      <c r="M43" s="4" t="s">
        <v>78</v>
      </c>
      <c r="N43" s="4">
        <v>3.05</v>
      </c>
      <c r="O43" s="4">
        <v>0.19</v>
      </c>
      <c r="P43" s="4">
        <v>3.23</v>
      </c>
      <c r="Q43" s="4">
        <v>0.48</v>
      </c>
      <c r="R43" s="4">
        <v>0.53700000000000003</v>
      </c>
      <c r="S43" s="4">
        <v>0.20699999999999999</v>
      </c>
      <c r="T43">
        <v>0.52900000000000003</v>
      </c>
      <c r="U43" t="s">
        <v>79</v>
      </c>
      <c r="V43" t="s">
        <v>80</v>
      </c>
    </row>
    <row r="44" spans="1:22" x14ac:dyDescent="0.3">
      <c r="A44" t="s">
        <v>189</v>
      </c>
      <c r="B44" t="s">
        <v>49</v>
      </c>
      <c r="C44" t="s">
        <v>190</v>
      </c>
      <c r="D44" t="s">
        <v>191</v>
      </c>
      <c r="E44" s="3">
        <v>10.76918</v>
      </c>
      <c r="F44" s="3">
        <v>-1.24047</v>
      </c>
      <c r="G44" s="4">
        <v>281.2</v>
      </c>
      <c r="H44" s="4">
        <v>29.2</v>
      </c>
      <c r="I44" s="4">
        <v>13.6</v>
      </c>
      <c r="J44" s="4" t="s">
        <v>142</v>
      </c>
      <c r="K44" s="4" t="s">
        <v>143</v>
      </c>
      <c r="L44" s="4" t="s">
        <v>144</v>
      </c>
      <c r="M44" s="4" t="s">
        <v>85</v>
      </c>
      <c r="N44" s="4">
        <v>4.53</v>
      </c>
      <c r="O44" s="4">
        <v>1.06</v>
      </c>
      <c r="P44" s="4">
        <v>4.46</v>
      </c>
      <c r="Q44" s="4">
        <v>0.61099999999999999</v>
      </c>
      <c r="R44" s="4">
        <v>0.6</v>
      </c>
      <c r="S44" s="4">
        <v>8.6999999999999994E-2</v>
      </c>
      <c r="T44">
        <v>0.23200000000000001</v>
      </c>
      <c r="U44" t="s">
        <v>79</v>
      </c>
      <c r="V44" t="s">
        <v>80</v>
      </c>
    </row>
    <row r="45" spans="1:22" x14ac:dyDescent="0.3">
      <c r="A45" t="s">
        <v>192</v>
      </c>
      <c r="B45" t="s">
        <v>49</v>
      </c>
      <c r="C45" t="s">
        <v>187</v>
      </c>
      <c r="D45" t="s">
        <v>193</v>
      </c>
      <c r="E45" s="3">
        <v>9.74254</v>
      </c>
      <c r="F45" s="3">
        <v>-0.63134000000000001</v>
      </c>
      <c r="G45" s="4">
        <v>274.8</v>
      </c>
      <c r="H45" s="4">
        <v>22.4</v>
      </c>
      <c r="I45" s="4">
        <v>17.5</v>
      </c>
      <c r="J45" s="4" t="s">
        <v>101</v>
      </c>
      <c r="K45" s="4" t="s">
        <v>102</v>
      </c>
      <c r="L45" s="4" t="s">
        <v>181</v>
      </c>
      <c r="M45" s="4" t="s">
        <v>122</v>
      </c>
      <c r="N45" s="4">
        <v>11.31</v>
      </c>
      <c r="O45" s="4">
        <v>0.26</v>
      </c>
      <c r="P45" s="4">
        <v>0.28000000000000003</v>
      </c>
      <c r="Q45" s="4">
        <v>0.35799999999999998</v>
      </c>
      <c r="R45" s="4">
        <v>0.61599999999999999</v>
      </c>
      <c r="S45" s="4">
        <v>0.29799999999999999</v>
      </c>
      <c r="T45">
        <v>0.81899999999999995</v>
      </c>
      <c r="U45" t="s">
        <v>104</v>
      </c>
      <c r="V45" t="s">
        <v>80</v>
      </c>
    </row>
    <row r="46" spans="1:22" x14ac:dyDescent="0.3">
      <c r="A46" t="s">
        <v>194</v>
      </c>
      <c r="B46" t="s">
        <v>49</v>
      </c>
      <c r="C46" t="s">
        <v>195</v>
      </c>
      <c r="D46" t="s">
        <v>196</v>
      </c>
      <c r="E46" s="3">
        <v>10.428369999999999</v>
      </c>
      <c r="F46" s="3">
        <v>5.7579999999999999E-2</v>
      </c>
      <c r="G46" s="4">
        <v>277.10000000000002</v>
      </c>
      <c r="H46" s="4">
        <v>57.1</v>
      </c>
      <c r="I46" s="4">
        <v>17.5</v>
      </c>
      <c r="J46" s="4" t="s">
        <v>142</v>
      </c>
      <c r="K46" s="4" t="s">
        <v>143</v>
      </c>
      <c r="L46" s="4" t="s">
        <v>144</v>
      </c>
      <c r="M46" s="4" t="s">
        <v>91</v>
      </c>
      <c r="N46" s="4">
        <v>13.52</v>
      </c>
      <c r="O46" s="4">
        <v>1.33</v>
      </c>
      <c r="P46" s="4">
        <v>0.93</v>
      </c>
      <c r="Q46" s="4">
        <v>0.25600000000000001</v>
      </c>
      <c r="R46" s="4">
        <v>0.66500000000000004</v>
      </c>
      <c r="S46" s="4">
        <v>0.23899999999999999</v>
      </c>
      <c r="T46">
        <v>0.59099999999999997</v>
      </c>
      <c r="U46" t="s">
        <v>79</v>
      </c>
      <c r="V46" t="s">
        <v>80</v>
      </c>
    </row>
    <row r="47" spans="1:22" x14ac:dyDescent="0.3">
      <c r="A47" t="s">
        <v>197</v>
      </c>
      <c r="B47" t="s">
        <v>49</v>
      </c>
      <c r="C47" t="s">
        <v>195</v>
      </c>
      <c r="D47" t="s">
        <v>198</v>
      </c>
      <c r="E47" s="3">
        <v>10.81616</v>
      </c>
      <c r="F47" s="3">
        <v>-1.1565300000000001</v>
      </c>
      <c r="G47" s="4">
        <v>298.39999999999998</v>
      </c>
      <c r="H47" s="4">
        <v>68.599999999999994</v>
      </c>
      <c r="I47" s="4">
        <v>8.4</v>
      </c>
      <c r="J47" s="4" t="s">
        <v>101</v>
      </c>
      <c r="K47" s="4" t="s">
        <v>102</v>
      </c>
      <c r="L47" s="4" t="s">
        <v>116</v>
      </c>
      <c r="M47" s="4" t="s">
        <v>78</v>
      </c>
      <c r="N47" s="4">
        <v>3.93</v>
      </c>
      <c r="O47" s="4">
        <v>1.58</v>
      </c>
      <c r="P47" s="4">
        <v>1.43</v>
      </c>
      <c r="Q47" s="4">
        <v>0.48499999999999999</v>
      </c>
      <c r="R47" s="4">
        <v>0.59299999999999997</v>
      </c>
      <c r="S47" s="4">
        <v>0.122</v>
      </c>
      <c r="T47">
        <v>0.41599999999999998</v>
      </c>
      <c r="U47" t="s">
        <v>79</v>
      </c>
      <c r="V47" t="s">
        <v>80</v>
      </c>
    </row>
    <row r="48" spans="1:22" x14ac:dyDescent="0.3">
      <c r="A48" t="s">
        <v>199</v>
      </c>
      <c r="B48" t="s">
        <v>49</v>
      </c>
      <c r="C48" t="s">
        <v>183</v>
      </c>
      <c r="D48" t="s">
        <v>200</v>
      </c>
      <c r="E48" s="3">
        <v>10.058920000000001</v>
      </c>
      <c r="F48" s="3">
        <v>-1.23929</v>
      </c>
      <c r="G48" s="4">
        <v>293.5</v>
      </c>
      <c r="H48" s="4">
        <v>80.7</v>
      </c>
      <c r="I48" s="4">
        <v>16.100000000000001</v>
      </c>
      <c r="J48" s="4" t="s">
        <v>75</v>
      </c>
      <c r="K48" s="4" t="s">
        <v>76</v>
      </c>
      <c r="L48" s="4" t="s">
        <v>94</v>
      </c>
      <c r="M48" s="4" t="s">
        <v>95</v>
      </c>
      <c r="N48" s="4">
        <v>3.02</v>
      </c>
      <c r="O48" s="4">
        <v>0.19</v>
      </c>
      <c r="P48" s="4">
        <v>9.18</v>
      </c>
      <c r="Q48" s="4">
        <v>0.39100000000000001</v>
      </c>
      <c r="R48" s="4">
        <v>0.64600000000000002</v>
      </c>
      <c r="S48" s="4">
        <v>0.218</v>
      </c>
      <c r="T48">
        <v>0.503</v>
      </c>
      <c r="U48" t="s">
        <v>79</v>
      </c>
      <c r="V48" t="s">
        <v>80</v>
      </c>
    </row>
    <row r="49" spans="1:22" x14ac:dyDescent="0.3">
      <c r="A49" t="s">
        <v>201</v>
      </c>
      <c r="B49" t="s">
        <v>49</v>
      </c>
      <c r="C49" t="s">
        <v>202</v>
      </c>
      <c r="D49" t="s">
        <v>203</v>
      </c>
      <c r="E49" s="3">
        <v>10.54092</v>
      </c>
      <c r="F49" s="3">
        <v>-1.14002</v>
      </c>
      <c r="G49" s="4">
        <v>302</v>
      </c>
      <c r="H49" s="4">
        <v>50.5</v>
      </c>
      <c r="I49" s="4">
        <v>31.4</v>
      </c>
      <c r="J49" s="4" t="s">
        <v>101</v>
      </c>
      <c r="K49" s="4" t="s">
        <v>102</v>
      </c>
      <c r="L49" s="4" t="s">
        <v>181</v>
      </c>
      <c r="M49" s="4" t="s">
        <v>91</v>
      </c>
      <c r="N49" s="4">
        <v>10.66</v>
      </c>
      <c r="O49" s="4">
        <v>0.2</v>
      </c>
      <c r="P49" s="4">
        <v>1.1499999999999999</v>
      </c>
      <c r="Q49" s="4">
        <v>0.182</v>
      </c>
      <c r="R49" s="4">
        <v>0.497</v>
      </c>
      <c r="S49" s="4">
        <v>0.23499999999999999</v>
      </c>
      <c r="T49">
        <v>0.46500000000000002</v>
      </c>
      <c r="U49" t="s">
        <v>79</v>
      </c>
      <c r="V49" t="s">
        <v>80</v>
      </c>
    </row>
    <row r="50" spans="1:22" x14ac:dyDescent="0.3">
      <c r="A50" t="s">
        <v>204</v>
      </c>
      <c r="B50" t="s">
        <v>49</v>
      </c>
      <c r="C50" t="s">
        <v>190</v>
      </c>
      <c r="D50" t="s">
        <v>205</v>
      </c>
      <c r="E50" s="3">
        <v>9.8718000000000004</v>
      </c>
      <c r="F50" s="3">
        <v>-0.62866999999999995</v>
      </c>
      <c r="G50" s="4">
        <v>255.6</v>
      </c>
      <c r="H50" s="4">
        <v>79.2</v>
      </c>
      <c r="I50" s="4">
        <v>17.100000000000001</v>
      </c>
      <c r="J50" s="4" t="s">
        <v>142</v>
      </c>
      <c r="K50" s="4" t="s">
        <v>143</v>
      </c>
      <c r="L50" s="4" t="s">
        <v>144</v>
      </c>
      <c r="M50" s="4" t="s">
        <v>91</v>
      </c>
      <c r="N50" s="4">
        <v>15.41</v>
      </c>
      <c r="O50" s="4">
        <v>4.87</v>
      </c>
      <c r="P50" s="4">
        <v>0.37</v>
      </c>
      <c r="Q50" s="4">
        <v>0.26600000000000001</v>
      </c>
      <c r="R50" s="4">
        <v>0.69699999999999995</v>
      </c>
      <c r="S50" s="4">
        <v>0.20499999999999999</v>
      </c>
      <c r="T50">
        <v>0.48</v>
      </c>
      <c r="U50" t="s">
        <v>79</v>
      </c>
      <c r="V50" t="s">
        <v>80</v>
      </c>
    </row>
    <row r="51" spans="1:22" x14ac:dyDescent="0.3">
      <c r="A51" t="s">
        <v>206</v>
      </c>
      <c r="B51" t="s">
        <v>49</v>
      </c>
      <c r="C51" t="s">
        <v>207</v>
      </c>
      <c r="D51" t="s">
        <v>208</v>
      </c>
      <c r="E51" s="3">
        <v>10.11998</v>
      </c>
      <c r="F51" s="3">
        <v>-0.64227000000000001</v>
      </c>
      <c r="G51" s="4">
        <v>244.6</v>
      </c>
      <c r="H51" s="4">
        <v>70.2</v>
      </c>
      <c r="I51" s="4">
        <v>10.3</v>
      </c>
      <c r="J51" s="4" t="s">
        <v>75</v>
      </c>
      <c r="K51" s="4" t="s">
        <v>76</v>
      </c>
      <c r="L51" s="4" t="s">
        <v>77</v>
      </c>
      <c r="M51" s="4" t="s">
        <v>78</v>
      </c>
      <c r="N51" s="4">
        <v>8.6300000000000008</v>
      </c>
      <c r="O51" s="4">
        <v>0.37</v>
      </c>
      <c r="P51" s="4">
        <v>0.93</v>
      </c>
      <c r="Q51" s="4">
        <v>0.19</v>
      </c>
      <c r="R51" s="4">
        <v>0.68300000000000005</v>
      </c>
      <c r="S51" s="4">
        <v>0.41899999999999998</v>
      </c>
      <c r="T51">
        <v>0.78200000000000003</v>
      </c>
      <c r="U51" t="s">
        <v>104</v>
      </c>
      <c r="V51" t="s">
        <v>80</v>
      </c>
    </row>
    <row r="52" spans="1:22" x14ac:dyDescent="0.3">
      <c r="A52" t="s">
        <v>209</v>
      </c>
      <c r="B52" t="s">
        <v>49</v>
      </c>
      <c r="C52" t="s">
        <v>190</v>
      </c>
      <c r="D52" t="s">
        <v>210</v>
      </c>
      <c r="E52" s="3">
        <v>9.6584900000000005</v>
      </c>
      <c r="F52" s="3">
        <v>-0.25989000000000001</v>
      </c>
      <c r="G52" s="4">
        <v>225.6</v>
      </c>
      <c r="H52" s="4">
        <v>38.5</v>
      </c>
      <c r="I52" s="4">
        <v>21.1</v>
      </c>
      <c r="J52" s="4" t="s">
        <v>101</v>
      </c>
      <c r="K52" s="4" t="s">
        <v>102</v>
      </c>
      <c r="L52" s="4" t="s">
        <v>181</v>
      </c>
      <c r="M52" s="4" t="s">
        <v>91</v>
      </c>
      <c r="N52" s="4">
        <v>6</v>
      </c>
      <c r="O52" s="4">
        <v>2.33</v>
      </c>
      <c r="P52" s="4">
        <v>2.76</v>
      </c>
      <c r="Q52" s="4">
        <v>0.432</v>
      </c>
      <c r="R52" s="4">
        <v>0.66900000000000004</v>
      </c>
      <c r="S52" s="4">
        <v>0.14699999999999999</v>
      </c>
      <c r="T52">
        <v>0.35</v>
      </c>
      <c r="U52" t="s">
        <v>79</v>
      </c>
      <c r="V52" t="s">
        <v>80</v>
      </c>
    </row>
    <row r="53" spans="1:22" x14ac:dyDescent="0.3">
      <c r="A53" t="s">
        <v>211</v>
      </c>
      <c r="B53" t="s">
        <v>49</v>
      </c>
      <c r="C53" t="s">
        <v>202</v>
      </c>
      <c r="D53" t="s">
        <v>212</v>
      </c>
      <c r="E53" s="3">
        <v>9.9542000000000002</v>
      </c>
      <c r="F53" s="3">
        <v>-0.94208000000000003</v>
      </c>
      <c r="G53" s="4">
        <v>267.89999999999998</v>
      </c>
      <c r="H53" s="4">
        <v>70.400000000000006</v>
      </c>
      <c r="I53" s="4">
        <v>14</v>
      </c>
      <c r="J53" s="4" t="s">
        <v>101</v>
      </c>
      <c r="K53" s="4" t="s">
        <v>102</v>
      </c>
      <c r="L53" s="4" t="s">
        <v>116</v>
      </c>
      <c r="M53" s="4" t="s">
        <v>91</v>
      </c>
      <c r="N53" s="4">
        <v>0.89</v>
      </c>
      <c r="O53" s="4">
        <v>4.41</v>
      </c>
      <c r="P53" s="4">
        <v>8.2100000000000009</v>
      </c>
      <c r="Q53" s="4">
        <v>0.47099999999999997</v>
      </c>
      <c r="R53" s="4">
        <v>0.70599999999999996</v>
      </c>
      <c r="S53" s="4">
        <v>0.19800000000000001</v>
      </c>
      <c r="T53">
        <v>0.37</v>
      </c>
      <c r="U53" t="s">
        <v>79</v>
      </c>
      <c r="V53" t="s">
        <v>80</v>
      </c>
    </row>
    <row r="54" spans="1:22" x14ac:dyDescent="0.3">
      <c r="A54" t="s">
        <v>213</v>
      </c>
      <c r="B54" t="s">
        <v>49</v>
      </c>
      <c r="C54" t="s">
        <v>214</v>
      </c>
      <c r="D54" t="s">
        <v>215</v>
      </c>
      <c r="E54" s="3">
        <v>9.72818</v>
      </c>
      <c r="F54" s="3">
        <v>-1.0530999999999999</v>
      </c>
      <c r="G54" s="4">
        <v>250.4</v>
      </c>
      <c r="H54" s="4">
        <v>73.599999999999994</v>
      </c>
      <c r="I54" s="4">
        <v>14.9</v>
      </c>
      <c r="J54" s="4" t="s">
        <v>75</v>
      </c>
      <c r="K54" s="4" t="s">
        <v>76</v>
      </c>
      <c r="L54" s="4" t="s">
        <v>84</v>
      </c>
      <c r="M54" s="4" t="s">
        <v>122</v>
      </c>
      <c r="N54" s="4">
        <v>3.54</v>
      </c>
      <c r="O54" s="4">
        <v>0.21</v>
      </c>
      <c r="P54" s="4">
        <v>2.61</v>
      </c>
      <c r="Q54" s="4">
        <v>0.41699999999999998</v>
      </c>
      <c r="R54" s="4">
        <v>0.54800000000000004</v>
      </c>
      <c r="S54" s="4">
        <v>5.1999999999999998E-2</v>
      </c>
      <c r="T54">
        <v>0.35</v>
      </c>
      <c r="U54" t="s">
        <v>79</v>
      </c>
      <c r="V54" t="s">
        <v>80</v>
      </c>
    </row>
    <row r="55" spans="1:22" x14ac:dyDescent="0.3">
      <c r="A55" t="s">
        <v>216</v>
      </c>
      <c r="B55" t="s">
        <v>49</v>
      </c>
      <c r="C55" t="s">
        <v>207</v>
      </c>
      <c r="D55" t="s">
        <v>217</v>
      </c>
      <c r="E55" s="3">
        <v>10.22784</v>
      </c>
      <c r="F55" s="3">
        <v>-0.62873000000000001</v>
      </c>
      <c r="G55" s="4">
        <v>282.89999999999998</v>
      </c>
      <c r="H55" s="4">
        <v>67.8</v>
      </c>
      <c r="I55" s="4">
        <v>16.399999999999999</v>
      </c>
      <c r="J55" s="4" t="s">
        <v>75</v>
      </c>
      <c r="K55" s="4" t="s">
        <v>76</v>
      </c>
      <c r="L55" s="4" t="s">
        <v>77</v>
      </c>
      <c r="M55" s="4" t="s">
        <v>95</v>
      </c>
      <c r="N55" s="4">
        <v>4.3</v>
      </c>
      <c r="O55" s="4">
        <v>1.55</v>
      </c>
      <c r="P55" s="4">
        <v>0.61</v>
      </c>
      <c r="Q55" s="4">
        <v>0.38800000000000001</v>
      </c>
      <c r="R55" s="4">
        <v>0.56200000000000006</v>
      </c>
      <c r="S55" s="4">
        <v>0.191</v>
      </c>
      <c r="T55">
        <v>0.47199999999999998</v>
      </c>
      <c r="U55" t="s">
        <v>79</v>
      </c>
      <c r="V55" t="s">
        <v>80</v>
      </c>
    </row>
    <row r="56" spans="1:22" x14ac:dyDescent="0.3">
      <c r="A56" t="s">
        <v>218</v>
      </c>
      <c r="B56" t="s">
        <v>49</v>
      </c>
      <c r="C56" t="s">
        <v>207</v>
      </c>
      <c r="D56" t="s">
        <v>219</v>
      </c>
      <c r="E56" s="3">
        <v>10.17245</v>
      </c>
      <c r="F56" s="3">
        <v>-0.69142999999999999</v>
      </c>
      <c r="G56" s="4">
        <v>301.39999999999998</v>
      </c>
      <c r="H56" s="4">
        <v>48.9</v>
      </c>
      <c r="I56" s="4">
        <v>8.8000000000000007</v>
      </c>
      <c r="J56" s="4" t="s">
        <v>75</v>
      </c>
      <c r="K56" s="4" t="s">
        <v>76</v>
      </c>
      <c r="L56" s="4" t="s">
        <v>84</v>
      </c>
      <c r="M56" s="4" t="s">
        <v>91</v>
      </c>
      <c r="N56" s="4">
        <v>3.64</v>
      </c>
      <c r="O56" s="4">
        <v>0.17</v>
      </c>
      <c r="P56" s="4">
        <v>9.06</v>
      </c>
      <c r="Q56" s="4">
        <v>0.31900000000000001</v>
      </c>
      <c r="R56" s="4">
        <v>0.68700000000000006</v>
      </c>
      <c r="S56" s="4">
        <v>0.14199999999999999</v>
      </c>
      <c r="T56">
        <v>0.33600000000000002</v>
      </c>
      <c r="U56" t="s">
        <v>79</v>
      </c>
      <c r="V56" t="s">
        <v>80</v>
      </c>
    </row>
    <row r="57" spans="1:22" x14ac:dyDescent="0.3">
      <c r="A57" t="s">
        <v>220</v>
      </c>
      <c r="B57" t="s">
        <v>49</v>
      </c>
      <c r="C57" t="s">
        <v>202</v>
      </c>
      <c r="D57" t="s">
        <v>221</v>
      </c>
      <c r="E57" s="3">
        <v>10.201790000000001</v>
      </c>
      <c r="F57" s="3">
        <v>-0.38712000000000002</v>
      </c>
      <c r="G57" s="4">
        <v>275.60000000000002</v>
      </c>
      <c r="H57" s="4">
        <v>40.799999999999997</v>
      </c>
      <c r="I57" s="4">
        <v>20.100000000000001</v>
      </c>
      <c r="J57" s="4" t="s">
        <v>75</v>
      </c>
      <c r="K57" s="4" t="s">
        <v>76</v>
      </c>
      <c r="L57" s="4" t="s">
        <v>84</v>
      </c>
      <c r="M57" s="4" t="s">
        <v>91</v>
      </c>
      <c r="N57" s="4">
        <v>25.02</v>
      </c>
      <c r="O57" s="4">
        <v>0.56000000000000005</v>
      </c>
      <c r="P57" s="4">
        <v>5.56</v>
      </c>
      <c r="Q57" s="4">
        <v>0.05</v>
      </c>
      <c r="R57" s="4">
        <v>0.60699999999999998</v>
      </c>
      <c r="S57" s="4">
        <v>0.21299999999999999</v>
      </c>
      <c r="T57">
        <v>0.372</v>
      </c>
      <c r="U57" t="s">
        <v>79</v>
      </c>
      <c r="V57" t="s">
        <v>80</v>
      </c>
    </row>
    <row r="58" spans="1:22" x14ac:dyDescent="0.3">
      <c r="A58" t="s">
        <v>222</v>
      </c>
      <c r="B58" t="s">
        <v>49</v>
      </c>
      <c r="C58" t="s">
        <v>183</v>
      </c>
      <c r="D58" t="s">
        <v>223</v>
      </c>
      <c r="E58" s="3">
        <v>10.967359999999999</v>
      </c>
      <c r="F58" s="3">
        <v>-0.96421999999999997</v>
      </c>
      <c r="G58" s="4">
        <v>268.3</v>
      </c>
      <c r="H58" s="4">
        <v>59.5</v>
      </c>
      <c r="I58" s="4">
        <v>17.100000000000001</v>
      </c>
      <c r="J58" s="4" t="s">
        <v>75</v>
      </c>
      <c r="K58" s="4" t="s">
        <v>76</v>
      </c>
      <c r="L58" s="4" t="s">
        <v>94</v>
      </c>
      <c r="M58" s="4" t="s">
        <v>122</v>
      </c>
      <c r="N58" s="4">
        <v>0.82</v>
      </c>
      <c r="O58" s="4">
        <v>1.21</v>
      </c>
      <c r="P58" s="4">
        <v>3.75</v>
      </c>
      <c r="Q58" s="4">
        <v>0.56000000000000005</v>
      </c>
      <c r="R58" s="4">
        <v>0.69799999999999995</v>
      </c>
      <c r="S58" s="4">
        <v>0.13800000000000001</v>
      </c>
      <c r="T58">
        <v>0.36899999999999999</v>
      </c>
      <c r="U58" t="s">
        <v>79</v>
      </c>
      <c r="V58" t="s">
        <v>80</v>
      </c>
    </row>
    <row r="59" spans="1:22" x14ac:dyDescent="0.3">
      <c r="A59" t="s">
        <v>224</v>
      </c>
      <c r="B59" t="s">
        <v>49</v>
      </c>
      <c r="C59" t="s">
        <v>190</v>
      </c>
      <c r="D59" t="s">
        <v>225</v>
      </c>
      <c r="E59" s="3">
        <v>10.772040000000001</v>
      </c>
      <c r="F59" s="3">
        <v>-0.19303999999999999</v>
      </c>
      <c r="G59" s="4">
        <v>278.2</v>
      </c>
      <c r="H59" s="4">
        <v>28.9</v>
      </c>
      <c r="I59" s="4">
        <v>11.5</v>
      </c>
      <c r="J59" s="4" t="s">
        <v>101</v>
      </c>
      <c r="K59" s="4" t="s">
        <v>102</v>
      </c>
      <c r="L59" s="4" t="s">
        <v>181</v>
      </c>
      <c r="M59" s="4" t="s">
        <v>91</v>
      </c>
      <c r="N59" s="4">
        <v>5.25</v>
      </c>
      <c r="O59" s="4">
        <v>0.33</v>
      </c>
      <c r="P59" s="4">
        <v>0.44</v>
      </c>
      <c r="Q59" s="4">
        <v>0.39100000000000001</v>
      </c>
      <c r="R59" s="4">
        <v>0.65300000000000002</v>
      </c>
      <c r="S59" s="4">
        <v>0.26800000000000002</v>
      </c>
      <c r="T59">
        <v>0.63800000000000001</v>
      </c>
      <c r="U59" t="s">
        <v>104</v>
      </c>
      <c r="V59" t="s">
        <v>80</v>
      </c>
    </row>
    <row r="60" spans="1:22" x14ac:dyDescent="0.3">
      <c r="A60" t="s">
        <v>226</v>
      </c>
      <c r="B60" t="s">
        <v>49</v>
      </c>
      <c r="C60" t="s">
        <v>202</v>
      </c>
      <c r="D60" t="s">
        <v>227</v>
      </c>
      <c r="E60" s="3">
        <v>10.49253</v>
      </c>
      <c r="F60" s="3">
        <v>-0.92130000000000001</v>
      </c>
      <c r="G60" s="4">
        <v>256.10000000000002</v>
      </c>
      <c r="H60" s="4">
        <v>60</v>
      </c>
      <c r="I60" s="4">
        <v>11</v>
      </c>
      <c r="J60" s="4" t="s">
        <v>75</v>
      </c>
      <c r="K60" s="4" t="s">
        <v>76</v>
      </c>
      <c r="L60" s="4" t="s">
        <v>84</v>
      </c>
      <c r="M60" s="4" t="s">
        <v>95</v>
      </c>
      <c r="N60" s="4">
        <v>10.51</v>
      </c>
      <c r="O60" s="4">
        <v>0.25</v>
      </c>
      <c r="P60" s="4">
        <v>0.71</v>
      </c>
      <c r="Q60" s="4">
        <v>0.496</v>
      </c>
      <c r="R60" s="4">
        <v>0.58199999999999996</v>
      </c>
      <c r="S60" s="4">
        <v>0.34</v>
      </c>
      <c r="T60">
        <v>0.72099999999999997</v>
      </c>
      <c r="U60" t="s">
        <v>104</v>
      </c>
      <c r="V60" t="s">
        <v>80</v>
      </c>
    </row>
    <row r="61" spans="1:22" x14ac:dyDescent="0.3">
      <c r="A61" t="s">
        <v>228</v>
      </c>
      <c r="B61" t="s">
        <v>49</v>
      </c>
      <c r="C61" t="s">
        <v>202</v>
      </c>
      <c r="D61" t="s">
        <v>229</v>
      </c>
      <c r="E61" s="3">
        <v>10.21195</v>
      </c>
      <c r="F61" s="3">
        <v>-0.71316999999999997</v>
      </c>
      <c r="G61" s="4">
        <v>223.2</v>
      </c>
      <c r="H61" s="4">
        <v>52.9</v>
      </c>
      <c r="I61" s="4">
        <v>17.100000000000001</v>
      </c>
      <c r="J61" s="4" t="s">
        <v>75</v>
      </c>
      <c r="K61" s="4" t="s">
        <v>76</v>
      </c>
      <c r="L61" s="4" t="s">
        <v>84</v>
      </c>
      <c r="M61" s="4" t="s">
        <v>122</v>
      </c>
      <c r="N61" s="4">
        <v>4.6100000000000003</v>
      </c>
      <c r="O61" s="4">
        <v>0.98</v>
      </c>
      <c r="P61" s="4">
        <v>0.12</v>
      </c>
      <c r="Q61" s="4">
        <v>0.255</v>
      </c>
      <c r="R61" s="4">
        <v>0.66400000000000003</v>
      </c>
      <c r="S61" s="4">
        <v>0.19400000000000001</v>
      </c>
      <c r="T61">
        <v>0.85199999999999998</v>
      </c>
      <c r="U61" t="s">
        <v>104</v>
      </c>
      <c r="V61" t="s">
        <v>80</v>
      </c>
    </row>
    <row r="62" spans="1:22" x14ac:dyDescent="0.3">
      <c r="A62" t="s">
        <v>230</v>
      </c>
      <c r="B62" t="s">
        <v>49</v>
      </c>
      <c r="C62" t="s">
        <v>214</v>
      </c>
      <c r="D62" t="s">
        <v>231</v>
      </c>
      <c r="E62" s="3">
        <v>10.394310000000001</v>
      </c>
      <c r="F62" s="3">
        <v>-7.6960000000000001E-2</v>
      </c>
      <c r="G62" s="4">
        <v>270.10000000000002</v>
      </c>
      <c r="H62" s="4">
        <v>65.8</v>
      </c>
      <c r="I62" s="4">
        <v>19.100000000000001</v>
      </c>
      <c r="J62" s="4" t="s">
        <v>75</v>
      </c>
      <c r="K62" s="4" t="s">
        <v>76</v>
      </c>
      <c r="L62" s="4" t="s">
        <v>94</v>
      </c>
      <c r="M62" s="4" t="s">
        <v>122</v>
      </c>
      <c r="N62" s="4">
        <v>4.01</v>
      </c>
      <c r="O62" s="4">
        <v>4.53</v>
      </c>
      <c r="P62" s="4">
        <v>1.98</v>
      </c>
      <c r="Q62" s="4">
        <v>0.316</v>
      </c>
      <c r="R62" s="4">
        <v>0.59199999999999997</v>
      </c>
      <c r="S62" s="4">
        <v>0.32200000000000001</v>
      </c>
      <c r="T62">
        <v>0.505</v>
      </c>
      <c r="U62" t="s">
        <v>79</v>
      </c>
      <c r="V62" t="s">
        <v>80</v>
      </c>
    </row>
    <row r="63" spans="1:22" x14ac:dyDescent="0.3">
      <c r="A63" t="s">
        <v>232</v>
      </c>
      <c r="B63" t="s">
        <v>49</v>
      </c>
      <c r="C63" t="s">
        <v>214</v>
      </c>
      <c r="D63" t="s">
        <v>233</v>
      </c>
      <c r="E63" s="3">
        <v>10.05463</v>
      </c>
      <c r="F63" s="3">
        <v>-0.16581000000000001</v>
      </c>
      <c r="G63" s="4">
        <v>262.3</v>
      </c>
      <c r="H63" s="4">
        <v>51.7</v>
      </c>
      <c r="I63" s="4">
        <v>9.4</v>
      </c>
      <c r="J63" s="4" t="s">
        <v>142</v>
      </c>
      <c r="K63" s="4" t="s">
        <v>143</v>
      </c>
      <c r="L63" s="4" t="s">
        <v>185</v>
      </c>
      <c r="M63" s="4" t="s">
        <v>85</v>
      </c>
      <c r="N63" s="4">
        <v>16.989999999999998</v>
      </c>
      <c r="O63" s="4">
        <v>3.97</v>
      </c>
      <c r="P63" s="4">
        <v>2.76</v>
      </c>
      <c r="Q63" s="4">
        <v>8.6999999999999994E-2</v>
      </c>
      <c r="R63" s="4">
        <v>0.66800000000000004</v>
      </c>
      <c r="S63" s="4">
        <v>0.184</v>
      </c>
      <c r="T63">
        <v>0.02</v>
      </c>
      <c r="U63" t="s">
        <v>79</v>
      </c>
      <c r="V63" t="s">
        <v>80</v>
      </c>
    </row>
    <row r="64" spans="1:22" x14ac:dyDescent="0.3">
      <c r="A64" t="s">
        <v>234</v>
      </c>
      <c r="B64" t="s">
        <v>49</v>
      </c>
      <c r="C64" t="s">
        <v>183</v>
      </c>
      <c r="D64" t="s">
        <v>235</v>
      </c>
      <c r="E64" s="3">
        <v>9.7528699999999997</v>
      </c>
      <c r="F64" s="3">
        <v>-1.25892</v>
      </c>
      <c r="G64" s="4">
        <v>260.39999999999998</v>
      </c>
      <c r="H64" s="4">
        <v>44.1</v>
      </c>
      <c r="I64" s="4">
        <v>13.3</v>
      </c>
      <c r="J64" s="4" t="s">
        <v>75</v>
      </c>
      <c r="K64" s="4" t="s">
        <v>76</v>
      </c>
      <c r="L64" s="4" t="s">
        <v>94</v>
      </c>
      <c r="M64" s="4" t="s">
        <v>85</v>
      </c>
      <c r="N64" s="4">
        <v>8.82</v>
      </c>
      <c r="O64" s="4">
        <v>3.65</v>
      </c>
      <c r="P64" s="4">
        <v>5.43</v>
      </c>
      <c r="Q64" s="4">
        <v>0.39800000000000002</v>
      </c>
      <c r="R64" s="4">
        <v>0.627</v>
      </c>
      <c r="S64" s="4">
        <v>0.45300000000000001</v>
      </c>
      <c r="T64">
        <v>0.21099999999999999</v>
      </c>
      <c r="U64" t="s">
        <v>79</v>
      </c>
      <c r="V64" t="s">
        <v>80</v>
      </c>
    </row>
    <row r="65" spans="1:22" x14ac:dyDescent="0.3">
      <c r="A65" t="s">
        <v>236</v>
      </c>
      <c r="B65" t="s">
        <v>49</v>
      </c>
      <c r="C65" t="s">
        <v>214</v>
      </c>
      <c r="D65" t="s">
        <v>237</v>
      </c>
      <c r="E65" s="3">
        <v>10.823790000000001</v>
      </c>
      <c r="F65" s="3">
        <v>-0.52070000000000005</v>
      </c>
      <c r="G65" s="4">
        <v>307.5</v>
      </c>
      <c r="H65" s="4">
        <v>29.6</v>
      </c>
      <c r="I65" s="4">
        <v>17.7</v>
      </c>
      <c r="J65" s="4" t="s">
        <v>142</v>
      </c>
      <c r="K65" s="4" t="s">
        <v>143</v>
      </c>
      <c r="L65" s="4" t="s">
        <v>185</v>
      </c>
      <c r="M65" s="4" t="s">
        <v>85</v>
      </c>
      <c r="N65" s="4">
        <v>1.49</v>
      </c>
      <c r="O65" s="4">
        <v>8.1300000000000008</v>
      </c>
      <c r="P65" s="4">
        <v>2.72</v>
      </c>
      <c r="Q65" s="4">
        <v>0.47699999999999998</v>
      </c>
      <c r="R65" s="4">
        <v>0.69399999999999995</v>
      </c>
      <c r="S65" s="4">
        <v>0.217</v>
      </c>
      <c r="T65">
        <v>0.02</v>
      </c>
      <c r="U65" t="s">
        <v>79</v>
      </c>
      <c r="V65" t="s">
        <v>80</v>
      </c>
    </row>
    <row r="66" spans="1:22" x14ac:dyDescent="0.3">
      <c r="A66" t="s">
        <v>238</v>
      </c>
      <c r="B66" t="s">
        <v>49</v>
      </c>
      <c r="C66" t="s">
        <v>202</v>
      </c>
      <c r="D66" t="s">
        <v>239</v>
      </c>
      <c r="E66" s="3">
        <v>10.064859999999999</v>
      </c>
      <c r="F66" s="3">
        <v>-0.87956000000000001</v>
      </c>
      <c r="G66" s="4">
        <v>251.3</v>
      </c>
      <c r="H66" s="4">
        <v>98.6</v>
      </c>
      <c r="I66" s="4">
        <v>33.299999999999997</v>
      </c>
      <c r="J66" s="4" t="s">
        <v>75</v>
      </c>
      <c r="K66" s="4" t="s">
        <v>76</v>
      </c>
      <c r="L66" s="4" t="s">
        <v>94</v>
      </c>
      <c r="M66" s="4" t="s">
        <v>95</v>
      </c>
      <c r="N66" s="4">
        <v>3.29</v>
      </c>
      <c r="O66" s="4">
        <v>6.67</v>
      </c>
      <c r="P66" s="4">
        <v>2.93</v>
      </c>
      <c r="Q66" s="4">
        <v>0.19600000000000001</v>
      </c>
      <c r="R66" s="4">
        <v>0.53500000000000003</v>
      </c>
      <c r="S66" s="4">
        <v>0.154</v>
      </c>
      <c r="T66">
        <v>0.36799999999999999</v>
      </c>
      <c r="U66" t="s">
        <v>79</v>
      </c>
      <c r="V66" t="s">
        <v>80</v>
      </c>
    </row>
    <row r="67" spans="1:22" x14ac:dyDescent="0.3">
      <c r="A67" t="s">
        <v>240</v>
      </c>
      <c r="B67" t="s">
        <v>49</v>
      </c>
      <c r="C67" t="s">
        <v>195</v>
      </c>
      <c r="D67" t="s">
        <v>241</v>
      </c>
      <c r="E67" s="3">
        <v>10.813470000000001</v>
      </c>
      <c r="F67" s="3">
        <v>-1.2730999999999999</v>
      </c>
      <c r="G67" s="4">
        <v>305.60000000000002</v>
      </c>
      <c r="H67" s="4">
        <v>54.4</v>
      </c>
      <c r="I67" s="4">
        <v>19.2</v>
      </c>
      <c r="J67" s="4" t="s">
        <v>101</v>
      </c>
      <c r="K67" s="4" t="s">
        <v>102</v>
      </c>
      <c r="L67" s="4" t="s">
        <v>181</v>
      </c>
      <c r="M67" s="4" t="s">
        <v>91</v>
      </c>
      <c r="N67" s="4">
        <v>12.03</v>
      </c>
      <c r="O67" s="4">
        <v>1.76</v>
      </c>
      <c r="P67" s="4">
        <v>3.87</v>
      </c>
      <c r="Q67" s="4">
        <v>0.158</v>
      </c>
      <c r="R67" s="4">
        <v>0.66800000000000004</v>
      </c>
      <c r="S67" s="4">
        <v>0.60699999999999998</v>
      </c>
      <c r="T67">
        <v>0.17399999999999999</v>
      </c>
      <c r="U67" t="s">
        <v>79</v>
      </c>
      <c r="V67" t="s">
        <v>80</v>
      </c>
    </row>
    <row r="68" spans="1:22" x14ac:dyDescent="0.3">
      <c r="A68" t="s">
        <v>242</v>
      </c>
      <c r="B68" t="s">
        <v>49</v>
      </c>
      <c r="C68" t="s">
        <v>195</v>
      </c>
      <c r="D68" t="s">
        <v>243</v>
      </c>
      <c r="E68" s="3">
        <v>9.5447399999999991</v>
      </c>
      <c r="F68" s="3">
        <v>-0.65822000000000003</v>
      </c>
      <c r="G68" s="4">
        <v>257.2</v>
      </c>
      <c r="H68" s="4">
        <v>85.9</v>
      </c>
      <c r="I68" s="4">
        <v>22.1</v>
      </c>
      <c r="J68" s="4" t="s">
        <v>75</v>
      </c>
      <c r="K68" s="4" t="s">
        <v>76</v>
      </c>
      <c r="L68" s="4" t="s">
        <v>77</v>
      </c>
      <c r="M68" s="4" t="s">
        <v>95</v>
      </c>
      <c r="N68" s="4">
        <v>6.15</v>
      </c>
      <c r="O68" s="4">
        <v>2.29</v>
      </c>
      <c r="P68" s="4">
        <v>1.06</v>
      </c>
      <c r="Q68" s="4">
        <v>0.36</v>
      </c>
      <c r="R68" s="4">
        <v>0.63900000000000001</v>
      </c>
      <c r="S68" s="4">
        <v>0.28299999999999997</v>
      </c>
      <c r="T68">
        <v>0.35199999999999998</v>
      </c>
      <c r="U68" t="s">
        <v>79</v>
      </c>
      <c r="V68" t="s">
        <v>80</v>
      </c>
    </row>
    <row r="69" spans="1:22" x14ac:dyDescent="0.3">
      <c r="A69" t="s">
        <v>244</v>
      </c>
      <c r="B69" t="s">
        <v>49</v>
      </c>
      <c r="C69" t="s">
        <v>214</v>
      </c>
      <c r="D69" t="s">
        <v>245</v>
      </c>
      <c r="E69" s="3">
        <v>10.35145</v>
      </c>
      <c r="F69" s="3">
        <v>-0.10063999999999999</v>
      </c>
      <c r="G69" s="4">
        <v>289</v>
      </c>
      <c r="H69" s="4">
        <v>31</v>
      </c>
      <c r="I69" s="4">
        <v>20.6</v>
      </c>
      <c r="J69" s="4" t="s">
        <v>101</v>
      </c>
      <c r="K69" s="4" t="s">
        <v>102</v>
      </c>
      <c r="L69" s="4" t="s">
        <v>116</v>
      </c>
      <c r="M69" s="4" t="s">
        <v>91</v>
      </c>
      <c r="N69" s="4">
        <v>5.17</v>
      </c>
      <c r="O69" s="4">
        <v>0.28000000000000003</v>
      </c>
      <c r="P69" s="4">
        <v>3.93</v>
      </c>
      <c r="Q69" s="4">
        <v>0.223</v>
      </c>
      <c r="R69" s="4">
        <v>0.70899999999999996</v>
      </c>
      <c r="S69" s="4">
        <v>0.214</v>
      </c>
      <c r="T69">
        <v>0.43099999999999999</v>
      </c>
      <c r="U69" t="s">
        <v>79</v>
      </c>
      <c r="V69" t="s">
        <v>80</v>
      </c>
    </row>
    <row r="70" spans="1:22" x14ac:dyDescent="0.3">
      <c r="A70" t="s">
        <v>246</v>
      </c>
      <c r="B70" t="s">
        <v>49</v>
      </c>
      <c r="C70" t="s">
        <v>207</v>
      </c>
      <c r="D70" t="s">
        <v>247</v>
      </c>
      <c r="E70" s="3">
        <v>9.7584999999999997</v>
      </c>
      <c r="F70" s="3">
        <v>0.14379</v>
      </c>
      <c r="G70" s="4">
        <v>282.3</v>
      </c>
      <c r="H70" s="4">
        <v>80</v>
      </c>
      <c r="I70" s="4">
        <v>11.3</v>
      </c>
      <c r="J70" s="4" t="s">
        <v>75</v>
      </c>
      <c r="K70" s="4" t="s">
        <v>76</v>
      </c>
      <c r="L70" s="4" t="s">
        <v>77</v>
      </c>
      <c r="M70" s="4" t="s">
        <v>85</v>
      </c>
      <c r="N70" s="4">
        <v>3.16</v>
      </c>
      <c r="O70" s="4">
        <v>1.4</v>
      </c>
      <c r="P70" s="4">
        <v>2.2400000000000002</v>
      </c>
      <c r="Q70" s="4">
        <v>0.24</v>
      </c>
      <c r="R70" s="4">
        <v>0.59299999999999997</v>
      </c>
      <c r="S70" s="4">
        <v>0.38900000000000001</v>
      </c>
      <c r="T70">
        <v>0.02</v>
      </c>
      <c r="U70" t="s">
        <v>79</v>
      </c>
      <c r="V70" t="s">
        <v>80</v>
      </c>
    </row>
    <row r="71" spans="1:22" x14ac:dyDescent="0.3">
      <c r="A71" t="s">
        <v>248</v>
      </c>
      <c r="B71" t="s">
        <v>49</v>
      </c>
      <c r="C71" t="s">
        <v>195</v>
      </c>
      <c r="D71" t="s">
        <v>249</v>
      </c>
      <c r="E71" s="3">
        <v>9.3519000000000005</v>
      </c>
      <c r="F71" s="3">
        <v>-0.69767000000000001</v>
      </c>
      <c r="G71" s="4">
        <v>209</v>
      </c>
      <c r="H71" s="4">
        <v>25.2</v>
      </c>
      <c r="I71" s="4">
        <v>11.8</v>
      </c>
      <c r="J71" s="4" t="s">
        <v>101</v>
      </c>
      <c r="K71" s="4" t="s">
        <v>102</v>
      </c>
      <c r="L71" s="4" t="s">
        <v>103</v>
      </c>
      <c r="M71" s="4" t="s">
        <v>122</v>
      </c>
      <c r="N71" s="4">
        <v>2.76</v>
      </c>
      <c r="O71" s="4">
        <v>7.65</v>
      </c>
      <c r="P71" s="4">
        <v>1.37</v>
      </c>
      <c r="Q71" s="4">
        <v>0.35799999999999998</v>
      </c>
      <c r="R71" s="4">
        <v>0.54600000000000004</v>
      </c>
      <c r="S71" s="4">
        <v>0.39200000000000002</v>
      </c>
      <c r="T71">
        <v>0.39500000000000002</v>
      </c>
      <c r="U71" t="s">
        <v>79</v>
      </c>
      <c r="V71" t="s">
        <v>80</v>
      </c>
    </row>
    <row r="72" spans="1:22" x14ac:dyDescent="0.3">
      <c r="A72" t="s">
        <v>250</v>
      </c>
      <c r="B72" t="s">
        <v>49</v>
      </c>
      <c r="C72" t="s">
        <v>183</v>
      </c>
      <c r="D72" t="s">
        <v>251</v>
      </c>
      <c r="E72" s="3">
        <v>10.46217</v>
      </c>
      <c r="F72" s="3">
        <v>-0.91188999999999998</v>
      </c>
      <c r="G72" s="4">
        <v>298.39999999999998</v>
      </c>
      <c r="H72" s="4">
        <v>37.5</v>
      </c>
      <c r="I72" s="4">
        <v>16.600000000000001</v>
      </c>
      <c r="J72" s="4" t="s">
        <v>142</v>
      </c>
      <c r="K72" s="4" t="s">
        <v>143</v>
      </c>
      <c r="L72" s="4" t="s">
        <v>144</v>
      </c>
      <c r="M72" s="4" t="s">
        <v>91</v>
      </c>
      <c r="N72" s="4">
        <v>0.1</v>
      </c>
      <c r="O72" s="4">
        <v>7.1</v>
      </c>
      <c r="P72" s="4">
        <v>0.3</v>
      </c>
      <c r="Q72" s="4">
        <v>0.33</v>
      </c>
      <c r="R72" s="4">
        <v>0.69</v>
      </c>
      <c r="S72" s="4">
        <v>9.4E-2</v>
      </c>
      <c r="T72">
        <v>0.49</v>
      </c>
      <c r="U72" t="s">
        <v>79</v>
      </c>
      <c r="V72" t="s">
        <v>80</v>
      </c>
    </row>
    <row r="73" spans="1:22" x14ac:dyDescent="0.3">
      <c r="A73" t="s">
        <v>252</v>
      </c>
      <c r="B73" t="s">
        <v>49</v>
      </c>
      <c r="C73" t="s">
        <v>214</v>
      </c>
      <c r="D73" t="s">
        <v>253</v>
      </c>
      <c r="E73" s="3">
        <v>10.632250000000001</v>
      </c>
      <c r="F73" s="3">
        <v>-0.34134999999999999</v>
      </c>
      <c r="G73" s="4">
        <v>247.1</v>
      </c>
      <c r="H73" s="4">
        <v>43.8</v>
      </c>
      <c r="I73" s="4">
        <v>16.100000000000001</v>
      </c>
      <c r="J73" s="4" t="s">
        <v>75</v>
      </c>
      <c r="K73" s="4" t="s">
        <v>76</v>
      </c>
      <c r="L73" s="4" t="s">
        <v>94</v>
      </c>
      <c r="M73" s="4" t="s">
        <v>122</v>
      </c>
      <c r="N73" s="4">
        <v>3.44</v>
      </c>
      <c r="O73" s="4">
        <v>0.96</v>
      </c>
      <c r="P73" s="4">
        <v>2.21</v>
      </c>
      <c r="Q73" s="4">
        <v>0.376</v>
      </c>
      <c r="R73" s="4">
        <v>0.69899999999999995</v>
      </c>
      <c r="S73" s="4">
        <v>0.32100000000000001</v>
      </c>
      <c r="T73">
        <v>0.57099999999999995</v>
      </c>
      <c r="U73" t="s">
        <v>79</v>
      </c>
      <c r="V73" t="s">
        <v>80</v>
      </c>
    </row>
    <row r="74" spans="1:22" x14ac:dyDescent="0.3">
      <c r="A74" t="s">
        <v>254</v>
      </c>
      <c r="B74" t="s">
        <v>49</v>
      </c>
      <c r="C74" t="s">
        <v>202</v>
      </c>
      <c r="D74" t="s">
        <v>255</v>
      </c>
      <c r="E74" s="3">
        <v>9.5773100000000007</v>
      </c>
      <c r="F74" s="3">
        <v>-0.21844</v>
      </c>
      <c r="G74" s="4">
        <v>222.5</v>
      </c>
      <c r="H74" s="4">
        <v>47.9</v>
      </c>
      <c r="I74" s="4">
        <v>9.1999999999999993</v>
      </c>
      <c r="J74" s="4" t="s">
        <v>75</v>
      </c>
      <c r="K74" s="4" t="s">
        <v>76</v>
      </c>
      <c r="L74" s="4" t="s">
        <v>94</v>
      </c>
      <c r="M74" s="4" t="s">
        <v>91</v>
      </c>
      <c r="N74" s="4">
        <v>3.59</v>
      </c>
      <c r="O74" s="4">
        <v>1.07</v>
      </c>
      <c r="P74" s="4">
        <v>0.28000000000000003</v>
      </c>
      <c r="Q74" s="4">
        <v>0.48499999999999999</v>
      </c>
      <c r="R74" s="4">
        <v>0.68</v>
      </c>
      <c r="S74" s="4">
        <v>0.35</v>
      </c>
      <c r="T74">
        <v>0.39500000000000002</v>
      </c>
      <c r="U74" t="s">
        <v>79</v>
      </c>
      <c r="V74" t="s">
        <v>80</v>
      </c>
    </row>
    <row r="75" spans="1:22" x14ac:dyDescent="0.3">
      <c r="A75" t="s">
        <v>256</v>
      </c>
      <c r="B75" t="s">
        <v>49</v>
      </c>
      <c r="C75" t="s">
        <v>195</v>
      </c>
      <c r="D75" t="s">
        <v>257</v>
      </c>
      <c r="E75" s="3">
        <v>9.5930900000000001</v>
      </c>
      <c r="F75" s="3">
        <v>-0.92925000000000002</v>
      </c>
      <c r="G75" s="4">
        <v>225.3</v>
      </c>
      <c r="H75" s="4">
        <v>39.4</v>
      </c>
      <c r="I75" s="4">
        <v>8.9</v>
      </c>
      <c r="J75" s="4" t="s">
        <v>75</v>
      </c>
      <c r="K75" s="4" t="s">
        <v>76</v>
      </c>
      <c r="L75" s="4" t="s">
        <v>77</v>
      </c>
      <c r="M75" s="4" t="s">
        <v>91</v>
      </c>
      <c r="N75" s="4">
        <v>4.5999999999999996</v>
      </c>
      <c r="O75" s="4">
        <v>1.36</v>
      </c>
      <c r="P75" s="4">
        <v>6.46</v>
      </c>
      <c r="Q75" s="4">
        <v>0.46600000000000003</v>
      </c>
      <c r="R75" s="4">
        <v>0.68500000000000005</v>
      </c>
      <c r="S75" s="4">
        <v>0.14699999999999999</v>
      </c>
      <c r="T75">
        <v>0.16900000000000001</v>
      </c>
      <c r="U75" t="s">
        <v>79</v>
      </c>
      <c r="V75" t="s">
        <v>80</v>
      </c>
    </row>
    <row r="76" spans="1:22" x14ac:dyDescent="0.3">
      <c r="A76" t="s">
        <v>258</v>
      </c>
      <c r="B76" t="s">
        <v>49</v>
      </c>
      <c r="C76" t="s">
        <v>195</v>
      </c>
      <c r="D76" t="s">
        <v>259</v>
      </c>
      <c r="E76" s="3">
        <v>9.9689399999999999</v>
      </c>
      <c r="F76" s="3">
        <v>-1.1572800000000001</v>
      </c>
      <c r="G76" s="4">
        <v>269.60000000000002</v>
      </c>
      <c r="H76" s="4">
        <v>48.6</v>
      </c>
      <c r="I76" s="4">
        <v>18</v>
      </c>
      <c r="J76" s="4" t="s">
        <v>101</v>
      </c>
      <c r="K76" s="4" t="s">
        <v>102</v>
      </c>
      <c r="L76" s="4" t="s">
        <v>181</v>
      </c>
      <c r="M76" s="4" t="s">
        <v>78</v>
      </c>
      <c r="N76" s="4">
        <v>4.92</v>
      </c>
      <c r="O76" s="4">
        <v>1.7</v>
      </c>
      <c r="P76" s="4">
        <v>2.66</v>
      </c>
      <c r="Q76" s="4">
        <v>0.17399999999999999</v>
      </c>
      <c r="R76" s="4">
        <v>0.52500000000000002</v>
      </c>
      <c r="S76" s="4">
        <v>0.182</v>
      </c>
      <c r="T76">
        <v>0.41</v>
      </c>
      <c r="U76" t="s">
        <v>79</v>
      </c>
      <c r="V76" t="s">
        <v>80</v>
      </c>
    </row>
    <row r="77" spans="1:22" x14ac:dyDescent="0.3">
      <c r="A77" t="s">
        <v>260</v>
      </c>
      <c r="B77" t="s">
        <v>49</v>
      </c>
      <c r="C77" t="s">
        <v>187</v>
      </c>
      <c r="D77" t="s">
        <v>261</v>
      </c>
      <c r="E77" s="3">
        <v>10.562189999999999</v>
      </c>
      <c r="F77" s="3">
        <v>-0.16045000000000001</v>
      </c>
      <c r="G77" s="4">
        <v>254.6</v>
      </c>
      <c r="H77" s="4">
        <v>65.5</v>
      </c>
      <c r="I77" s="4">
        <v>11.4</v>
      </c>
      <c r="J77" s="4" t="s">
        <v>75</v>
      </c>
      <c r="K77" s="4" t="s">
        <v>76</v>
      </c>
      <c r="L77" s="4" t="s">
        <v>77</v>
      </c>
      <c r="M77" s="4" t="s">
        <v>91</v>
      </c>
      <c r="N77" s="4">
        <v>12.68</v>
      </c>
      <c r="O77" s="4">
        <v>2.85</v>
      </c>
      <c r="P77" s="4">
        <v>7.0000000000000007E-2</v>
      </c>
      <c r="Q77" s="4">
        <v>0.112</v>
      </c>
      <c r="R77" s="4">
        <v>0.63</v>
      </c>
      <c r="S77" s="4">
        <v>0.23599999999999999</v>
      </c>
      <c r="T77">
        <v>0.38600000000000001</v>
      </c>
      <c r="U77" t="s">
        <v>79</v>
      </c>
      <c r="V77" t="s">
        <v>80</v>
      </c>
    </row>
    <row r="78" spans="1:22" x14ac:dyDescent="0.3">
      <c r="A78" t="s">
        <v>262</v>
      </c>
      <c r="B78" t="s">
        <v>49</v>
      </c>
      <c r="C78" t="s">
        <v>214</v>
      </c>
      <c r="D78" t="s">
        <v>263</v>
      </c>
      <c r="E78" s="3">
        <v>10.80536</v>
      </c>
      <c r="F78" s="3">
        <v>-0.75400999999999996</v>
      </c>
      <c r="G78" s="4">
        <v>256</v>
      </c>
      <c r="H78" s="4">
        <v>40.299999999999997</v>
      </c>
      <c r="I78" s="4">
        <v>11.8</v>
      </c>
      <c r="J78" s="4" t="s">
        <v>75</v>
      </c>
      <c r="K78" s="4" t="s">
        <v>76</v>
      </c>
      <c r="L78" s="4" t="s">
        <v>84</v>
      </c>
      <c r="M78" s="4" t="s">
        <v>78</v>
      </c>
      <c r="N78" s="4">
        <v>9.24</v>
      </c>
      <c r="O78" s="4">
        <v>1.1599999999999999</v>
      </c>
      <c r="P78" s="4">
        <v>1.57</v>
      </c>
      <c r="Q78" s="4">
        <v>0.32900000000000001</v>
      </c>
      <c r="R78" s="4">
        <v>0.622</v>
      </c>
      <c r="S78" s="4">
        <v>0.44</v>
      </c>
      <c r="T78">
        <v>0.50700000000000001</v>
      </c>
      <c r="U78" t="s">
        <v>79</v>
      </c>
      <c r="V78" t="s">
        <v>80</v>
      </c>
    </row>
    <row r="79" spans="1:22" x14ac:dyDescent="0.3">
      <c r="A79" t="s">
        <v>264</v>
      </c>
      <c r="B79" t="s">
        <v>49</v>
      </c>
      <c r="C79" t="s">
        <v>202</v>
      </c>
      <c r="D79" t="s">
        <v>265</v>
      </c>
      <c r="E79" s="3">
        <v>10.888809999999999</v>
      </c>
      <c r="F79" s="3">
        <v>-0.82587999999999995</v>
      </c>
      <c r="G79" s="4">
        <v>280.3</v>
      </c>
      <c r="H79" s="4">
        <v>75.599999999999994</v>
      </c>
      <c r="I79" s="4">
        <v>9.6999999999999993</v>
      </c>
      <c r="J79" s="4" t="s">
        <v>75</v>
      </c>
      <c r="K79" s="4" t="s">
        <v>76</v>
      </c>
      <c r="L79" s="4" t="s">
        <v>84</v>
      </c>
      <c r="M79" s="4" t="s">
        <v>85</v>
      </c>
      <c r="N79" s="4">
        <v>10.47</v>
      </c>
      <c r="O79" s="4">
        <v>1.87</v>
      </c>
      <c r="P79" s="4">
        <v>0.88</v>
      </c>
      <c r="Q79" s="4">
        <v>0.16200000000000001</v>
      </c>
      <c r="R79" s="4">
        <v>0.625</v>
      </c>
      <c r="S79" s="4">
        <v>0.19500000000000001</v>
      </c>
      <c r="T79">
        <v>0.46400000000000002</v>
      </c>
      <c r="U79" t="s">
        <v>79</v>
      </c>
      <c r="V79" t="s">
        <v>80</v>
      </c>
    </row>
    <row r="80" spans="1:22" x14ac:dyDescent="0.3">
      <c r="A80" t="s">
        <v>266</v>
      </c>
      <c r="B80" t="s">
        <v>49</v>
      </c>
      <c r="C80" t="s">
        <v>183</v>
      </c>
      <c r="D80" t="s">
        <v>267</v>
      </c>
      <c r="E80" s="3">
        <v>10.71062</v>
      </c>
      <c r="F80" s="3">
        <v>-0.63475999999999999</v>
      </c>
      <c r="G80" s="4">
        <v>254.8</v>
      </c>
      <c r="H80" s="4">
        <v>46.7</v>
      </c>
      <c r="I80" s="4">
        <v>14.9</v>
      </c>
      <c r="J80" s="4" t="s">
        <v>101</v>
      </c>
      <c r="K80" s="4" t="s">
        <v>102</v>
      </c>
      <c r="L80" s="4" t="s">
        <v>116</v>
      </c>
      <c r="M80" s="4" t="s">
        <v>78</v>
      </c>
      <c r="N80" s="4">
        <v>2.21</v>
      </c>
      <c r="O80" s="4">
        <v>1.08</v>
      </c>
      <c r="P80" s="4">
        <v>1.34</v>
      </c>
      <c r="Q80" s="4">
        <v>0.29799999999999999</v>
      </c>
      <c r="R80" s="4">
        <v>0.66500000000000004</v>
      </c>
      <c r="S80" s="4">
        <v>0.49399999999999999</v>
      </c>
      <c r="T80">
        <v>0.41399999999999998</v>
      </c>
      <c r="U80" t="s">
        <v>79</v>
      </c>
      <c r="V80" t="s">
        <v>80</v>
      </c>
    </row>
    <row r="81" spans="1:22" x14ac:dyDescent="0.3">
      <c r="A81" t="s">
        <v>268</v>
      </c>
      <c r="B81" t="s">
        <v>49</v>
      </c>
      <c r="C81" t="s">
        <v>187</v>
      </c>
      <c r="D81" t="s">
        <v>269</v>
      </c>
      <c r="E81" s="3">
        <v>10.31639</v>
      </c>
      <c r="F81" s="3">
        <v>-0.44688</v>
      </c>
      <c r="G81" s="4">
        <v>251.9</v>
      </c>
      <c r="H81" s="4">
        <v>31.3</v>
      </c>
      <c r="I81" s="4">
        <v>15.7</v>
      </c>
      <c r="J81" s="4" t="s">
        <v>75</v>
      </c>
      <c r="K81" s="4" t="s">
        <v>76</v>
      </c>
      <c r="L81" s="4" t="s">
        <v>94</v>
      </c>
      <c r="M81" s="4" t="s">
        <v>122</v>
      </c>
      <c r="N81" s="4">
        <v>21.94</v>
      </c>
      <c r="O81" s="4">
        <v>3.6</v>
      </c>
      <c r="P81" s="4">
        <v>3.63</v>
      </c>
      <c r="Q81" s="4">
        <v>0.28599999999999998</v>
      </c>
      <c r="R81" s="4">
        <v>0.65400000000000003</v>
      </c>
      <c r="S81" s="4">
        <v>0.32</v>
      </c>
      <c r="T81">
        <v>0.65700000000000003</v>
      </c>
      <c r="U81" t="s">
        <v>104</v>
      </c>
      <c r="V81" t="s">
        <v>80</v>
      </c>
    </row>
    <row r="82" spans="1:22" x14ac:dyDescent="0.3">
      <c r="A82" t="s">
        <v>270</v>
      </c>
      <c r="B82" t="s">
        <v>32</v>
      </c>
      <c r="C82" t="s">
        <v>271</v>
      </c>
      <c r="D82" t="s">
        <v>272</v>
      </c>
      <c r="E82" s="3">
        <v>10.74493</v>
      </c>
      <c r="F82" s="3">
        <v>-0.36148999999999998</v>
      </c>
      <c r="G82" s="4">
        <v>254.6</v>
      </c>
      <c r="H82" s="4">
        <v>70.2</v>
      </c>
      <c r="I82" s="4">
        <v>10.199999999999999</v>
      </c>
      <c r="J82" s="4" t="s">
        <v>101</v>
      </c>
      <c r="K82" s="4" t="s">
        <v>102</v>
      </c>
      <c r="L82" s="4" t="s">
        <v>103</v>
      </c>
      <c r="M82" s="4" t="s">
        <v>85</v>
      </c>
      <c r="N82" s="4">
        <v>15.94</v>
      </c>
      <c r="O82" s="4">
        <v>0.36</v>
      </c>
      <c r="P82" s="4">
        <v>1.65</v>
      </c>
      <c r="Q82" s="4">
        <v>0.45500000000000002</v>
      </c>
      <c r="R82" s="4">
        <v>0.80800000000000005</v>
      </c>
      <c r="S82" s="4">
        <v>0.61099999999999999</v>
      </c>
      <c r="T82">
        <v>0.35399999999999998</v>
      </c>
      <c r="U82" t="s">
        <v>273</v>
      </c>
      <c r="V82" t="s">
        <v>80</v>
      </c>
    </row>
    <row r="83" spans="1:22" x14ac:dyDescent="0.3">
      <c r="A83" t="s">
        <v>274</v>
      </c>
      <c r="B83" t="s">
        <v>32</v>
      </c>
      <c r="C83" t="s">
        <v>275</v>
      </c>
      <c r="D83" t="s">
        <v>276</v>
      </c>
      <c r="E83" s="3">
        <v>10.81127</v>
      </c>
      <c r="F83" s="3">
        <v>-0.93730999999999998</v>
      </c>
      <c r="G83" s="4">
        <v>332.4</v>
      </c>
      <c r="H83" s="4">
        <v>73.8</v>
      </c>
      <c r="I83" s="4">
        <v>19.8</v>
      </c>
      <c r="J83" s="4" t="s">
        <v>277</v>
      </c>
      <c r="K83" s="4" t="s">
        <v>278</v>
      </c>
      <c r="L83" s="4" t="s">
        <v>279</v>
      </c>
      <c r="M83" s="4" t="s">
        <v>95</v>
      </c>
      <c r="N83" s="4">
        <v>0.67</v>
      </c>
      <c r="O83" s="4">
        <v>5.96</v>
      </c>
      <c r="P83" s="4">
        <v>0.6</v>
      </c>
      <c r="Q83" s="4">
        <v>0.42099999999999999</v>
      </c>
      <c r="R83" s="4">
        <v>0.78400000000000003</v>
      </c>
      <c r="S83" s="4">
        <v>0.78700000000000003</v>
      </c>
      <c r="T83">
        <v>0.46200000000000002</v>
      </c>
      <c r="U83" t="s">
        <v>280</v>
      </c>
      <c r="V83" t="s">
        <v>80</v>
      </c>
    </row>
    <row r="84" spans="1:22" x14ac:dyDescent="0.3">
      <c r="A84" t="s">
        <v>281</v>
      </c>
      <c r="B84" t="s">
        <v>32</v>
      </c>
      <c r="C84" t="s">
        <v>275</v>
      </c>
      <c r="D84" t="s">
        <v>282</v>
      </c>
      <c r="E84" s="3">
        <v>10.759880000000001</v>
      </c>
      <c r="F84" s="3">
        <v>-0.71777000000000002</v>
      </c>
      <c r="G84" s="4">
        <v>283.3</v>
      </c>
      <c r="H84" s="4">
        <v>56.6</v>
      </c>
      <c r="I84" s="4">
        <v>12.5</v>
      </c>
      <c r="J84" s="4" t="s">
        <v>277</v>
      </c>
      <c r="K84" s="4" t="s">
        <v>278</v>
      </c>
      <c r="L84" s="4" t="s">
        <v>283</v>
      </c>
      <c r="M84" s="4" t="s">
        <v>91</v>
      </c>
      <c r="N84" s="4">
        <v>1.73</v>
      </c>
      <c r="O84" s="4">
        <v>6.06</v>
      </c>
      <c r="P84" s="4">
        <v>0.79</v>
      </c>
      <c r="Q84" s="4">
        <v>0.56200000000000006</v>
      </c>
      <c r="R84" s="4">
        <v>0.79200000000000004</v>
      </c>
      <c r="S84" s="4">
        <v>0.84599999999999997</v>
      </c>
      <c r="T84">
        <v>0.48599999999999999</v>
      </c>
      <c r="U84" t="s">
        <v>280</v>
      </c>
      <c r="V84" t="s">
        <v>80</v>
      </c>
    </row>
    <row r="85" spans="1:22" x14ac:dyDescent="0.3">
      <c r="A85" t="s">
        <v>284</v>
      </c>
      <c r="B85" t="s">
        <v>32</v>
      </c>
      <c r="C85" t="s">
        <v>271</v>
      </c>
      <c r="D85" t="s">
        <v>285</v>
      </c>
      <c r="E85" s="3">
        <v>10.821199999999999</v>
      </c>
      <c r="F85" s="3">
        <v>-0.14849999999999999</v>
      </c>
      <c r="G85" s="4">
        <v>281.7</v>
      </c>
      <c r="H85" s="4">
        <v>39.6</v>
      </c>
      <c r="I85" s="4">
        <v>17.100000000000001</v>
      </c>
      <c r="J85" s="4" t="s">
        <v>101</v>
      </c>
      <c r="K85" s="4" t="s">
        <v>102</v>
      </c>
      <c r="L85" s="4" t="s">
        <v>116</v>
      </c>
      <c r="M85" s="4" t="s">
        <v>91</v>
      </c>
      <c r="N85" s="4">
        <v>0.23</v>
      </c>
      <c r="O85" s="4">
        <v>0.83</v>
      </c>
      <c r="P85" s="4">
        <v>0.63</v>
      </c>
      <c r="Q85" s="4">
        <v>0.34599999999999997</v>
      </c>
      <c r="R85" s="4">
        <v>0.77900000000000003</v>
      </c>
      <c r="S85" s="4">
        <v>0.62</v>
      </c>
      <c r="T85">
        <v>0.63600000000000001</v>
      </c>
      <c r="U85" t="s">
        <v>104</v>
      </c>
      <c r="V85" t="s">
        <v>80</v>
      </c>
    </row>
    <row r="86" spans="1:22" x14ac:dyDescent="0.3">
      <c r="A86" t="s">
        <v>286</v>
      </c>
      <c r="B86" t="s">
        <v>32</v>
      </c>
      <c r="C86" t="s">
        <v>287</v>
      </c>
      <c r="D86" t="s">
        <v>288</v>
      </c>
      <c r="E86" s="3">
        <v>10.58724</v>
      </c>
      <c r="F86" s="3">
        <v>-1.1029199999999999</v>
      </c>
      <c r="G86" s="4">
        <v>253.2</v>
      </c>
      <c r="H86" s="4">
        <v>63.5</v>
      </c>
      <c r="I86" s="4">
        <v>15.1</v>
      </c>
      <c r="J86" s="4" t="s">
        <v>142</v>
      </c>
      <c r="K86" s="4" t="s">
        <v>143</v>
      </c>
      <c r="L86" s="4" t="s">
        <v>147</v>
      </c>
      <c r="M86" s="4" t="s">
        <v>122</v>
      </c>
      <c r="N86" s="4">
        <v>2.54</v>
      </c>
      <c r="O86" s="4">
        <v>2.95</v>
      </c>
      <c r="P86" s="4">
        <v>2.81</v>
      </c>
      <c r="Q86" s="4">
        <v>0.45400000000000001</v>
      </c>
      <c r="R86" s="4">
        <v>0.81899999999999995</v>
      </c>
      <c r="S86" s="4">
        <v>0.71799999999999997</v>
      </c>
      <c r="T86">
        <v>0.47099999999999997</v>
      </c>
      <c r="U86" t="s">
        <v>280</v>
      </c>
      <c r="V86" t="s">
        <v>80</v>
      </c>
    </row>
    <row r="87" spans="1:22" x14ac:dyDescent="0.3">
      <c r="A87" t="s">
        <v>289</v>
      </c>
      <c r="B87" t="s">
        <v>32</v>
      </c>
      <c r="C87" t="s">
        <v>275</v>
      </c>
      <c r="D87" t="s">
        <v>290</v>
      </c>
      <c r="E87" s="3">
        <v>10.462910000000001</v>
      </c>
      <c r="F87" s="3">
        <v>-0.94267000000000001</v>
      </c>
      <c r="G87" s="4">
        <v>289.8</v>
      </c>
      <c r="H87" s="4">
        <v>73.099999999999994</v>
      </c>
      <c r="I87" s="4">
        <v>24.7</v>
      </c>
      <c r="J87" s="4" t="s">
        <v>277</v>
      </c>
      <c r="K87" s="4" t="s">
        <v>278</v>
      </c>
      <c r="L87" s="4" t="s">
        <v>283</v>
      </c>
      <c r="M87" s="4" t="s">
        <v>122</v>
      </c>
      <c r="N87" s="4">
        <v>4.5599999999999996</v>
      </c>
      <c r="O87" s="4">
        <v>9.81</v>
      </c>
      <c r="P87" s="4">
        <v>5.54</v>
      </c>
      <c r="Q87" s="4">
        <v>0.05</v>
      </c>
      <c r="R87" s="4">
        <v>0.79</v>
      </c>
      <c r="S87" s="4">
        <v>0.97</v>
      </c>
      <c r="T87">
        <v>0.40799999999999997</v>
      </c>
      <c r="U87" t="s">
        <v>280</v>
      </c>
      <c r="V87" t="s">
        <v>80</v>
      </c>
    </row>
    <row r="88" spans="1:22" x14ac:dyDescent="0.3">
      <c r="A88" t="s">
        <v>291</v>
      </c>
      <c r="B88" t="s">
        <v>32</v>
      </c>
      <c r="C88" t="s">
        <v>292</v>
      </c>
      <c r="D88" t="s">
        <v>293</v>
      </c>
      <c r="E88" s="3">
        <v>11.040150000000001</v>
      </c>
      <c r="F88" s="3">
        <v>9.6930000000000002E-2</v>
      </c>
      <c r="G88" s="4">
        <v>303.39999999999998</v>
      </c>
      <c r="H88" s="4">
        <v>45.5</v>
      </c>
      <c r="I88" s="4">
        <v>14.2</v>
      </c>
      <c r="J88" s="4" t="s">
        <v>277</v>
      </c>
      <c r="K88" s="4" t="s">
        <v>278</v>
      </c>
      <c r="L88" s="4" t="s">
        <v>294</v>
      </c>
      <c r="M88" s="4" t="s">
        <v>91</v>
      </c>
      <c r="N88" s="4">
        <v>7.38</v>
      </c>
      <c r="O88" s="4">
        <v>0.3</v>
      </c>
      <c r="P88" s="4">
        <v>0.79</v>
      </c>
      <c r="Q88" s="4">
        <v>0.34200000000000003</v>
      </c>
      <c r="R88" s="4">
        <v>0.78300000000000003</v>
      </c>
      <c r="S88" s="4">
        <v>0.55900000000000005</v>
      </c>
      <c r="T88">
        <v>0.72199999999999998</v>
      </c>
      <c r="U88" t="s">
        <v>104</v>
      </c>
      <c r="V88" t="s">
        <v>80</v>
      </c>
    </row>
    <row r="89" spans="1:22" x14ac:dyDescent="0.3">
      <c r="A89" t="s">
        <v>295</v>
      </c>
      <c r="B89" t="s">
        <v>32</v>
      </c>
      <c r="C89" t="s">
        <v>296</v>
      </c>
      <c r="D89" t="s">
        <v>297</v>
      </c>
      <c r="E89" s="3">
        <v>11.02787</v>
      </c>
      <c r="F89" s="3">
        <v>-0.62551999999999996</v>
      </c>
      <c r="G89" s="4">
        <v>320.10000000000002</v>
      </c>
      <c r="H89" s="4">
        <v>47.3</v>
      </c>
      <c r="I89" s="4">
        <v>14.9</v>
      </c>
      <c r="J89" s="4" t="s">
        <v>277</v>
      </c>
      <c r="K89" s="4" t="s">
        <v>278</v>
      </c>
      <c r="L89" s="4" t="s">
        <v>279</v>
      </c>
      <c r="M89" s="4" t="s">
        <v>85</v>
      </c>
      <c r="N89" s="4">
        <v>1.66</v>
      </c>
      <c r="O89" s="4">
        <v>2.81</v>
      </c>
      <c r="P89" s="4">
        <v>2.11</v>
      </c>
      <c r="Q89" s="4">
        <v>0.316</v>
      </c>
      <c r="R89" s="4">
        <v>0.82799999999999996</v>
      </c>
      <c r="S89" s="4">
        <v>0.87</v>
      </c>
      <c r="T89">
        <v>0.23400000000000001</v>
      </c>
      <c r="U89" t="s">
        <v>280</v>
      </c>
      <c r="V89" t="s">
        <v>80</v>
      </c>
    </row>
    <row r="90" spans="1:22" x14ac:dyDescent="0.3">
      <c r="A90" t="s">
        <v>298</v>
      </c>
      <c r="B90" t="s">
        <v>32</v>
      </c>
      <c r="C90" t="s">
        <v>271</v>
      </c>
      <c r="D90" t="s">
        <v>299</v>
      </c>
      <c r="E90" s="3">
        <v>11.064349999999999</v>
      </c>
      <c r="F90" s="3">
        <v>-4.2070000000000003E-2</v>
      </c>
      <c r="G90" s="4">
        <v>264</v>
      </c>
      <c r="H90" s="4">
        <v>53.9</v>
      </c>
      <c r="I90" s="4">
        <v>11</v>
      </c>
      <c r="J90" s="4" t="s">
        <v>101</v>
      </c>
      <c r="K90" s="4" t="s">
        <v>102</v>
      </c>
      <c r="L90" s="4" t="s">
        <v>116</v>
      </c>
      <c r="M90" s="4" t="s">
        <v>78</v>
      </c>
      <c r="N90" s="4">
        <v>3.52</v>
      </c>
      <c r="O90" s="4">
        <v>6.2</v>
      </c>
      <c r="P90" s="4">
        <v>1.61</v>
      </c>
      <c r="Q90" s="4">
        <v>0.53</v>
      </c>
      <c r="R90" s="4">
        <v>0.81299999999999994</v>
      </c>
      <c r="S90" s="4">
        <v>0.64500000000000002</v>
      </c>
      <c r="T90">
        <v>0.49299999999999999</v>
      </c>
      <c r="U90" t="s">
        <v>273</v>
      </c>
      <c r="V90" t="s">
        <v>80</v>
      </c>
    </row>
    <row r="91" spans="1:22" x14ac:dyDescent="0.3">
      <c r="A91" t="s">
        <v>300</v>
      </c>
      <c r="B91" t="s">
        <v>32</v>
      </c>
      <c r="C91" t="s">
        <v>275</v>
      </c>
      <c r="D91" t="s">
        <v>301</v>
      </c>
      <c r="E91" s="3">
        <v>10.884399999999999</v>
      </c>
      <c r="F91" s="3">
        <v>-0.12670000000000001</v>
      </c>
      <c r="G91" s="4">
        <v>236.3</v>
      </c>
      <c r="H91" s="4">
        <v>60.1</v>
      </c>
      <c r="I91" s="4">
        <v>16.5</v>
      </c>
      <c r="J91" s="4" t="s">
        <v>142</v>
      </c>
      <c r="K91" s="4" t="s">
        <v>143</v>
      </c>
      <c r="L91" s="4" t="s">
        <v>185</v>
      </c>
      <c r="M91" s="4" t="s">
        <v>91</v>
      </c>
      <c r="N91" s="4">
        <v>5</v>
      </c>
      <c r="O91" s="4">
        <v>0.42</v>
      </c>
      <c r="P91" s="4">
        <v>0.25</v>
      </c>
      <c r="Q91" s="4">
        <v>0.33</v>
      </c>
      <c r="R91" s="4">
        <v>0.75700000000000001</v>
      </c>
      <c r="S91" s="4">
        <v>0.54800000000000004</v>
      </c>
      <c r="T91">
        <v>0.57399999999999995</v>
      </c>
      <c r="U91" t="s">
        <v>273</v>
      </c>
      <c r="V91" t="s">
        <v>80</v>
      </c>
    </row>
    <row r="92" spans="1:22" x14ac:dyDescent="0.3">
      <c r="A92" t="s">
        <v>302</v>
      </c>
      <c r="B92" t="s">
        <v>32</v>
      </c>
      <c r="C92" t="s">
        <v>303</v>
      </c>
      <c r="D92" t="s">
        <v>304</v>
      </c>
      <c r="E92" s="3">
        <v>11.08229</v>
      </c>
      <c r="F92" s="3">
        <v>-0.54044999999999999</v>
      </c>
      <c r="G92" s="4">
        <v>292.10000000000002</v>
      </c>
      <c r="H92" s="4">
        <v>64.099999999999994</v>
      </c>
      <c r="I92" s="4">
        <v>14.3</v>
      </c>
      <c r="J92" s="4" t="s">
        <v>277</v>
      </c>
      <c r="K92" s="4" t="s">
        <v>278</v>
      </c>
      <c r="L92" s="4" t="s">
        <v>283</v>
      </c>
      <c r="M92" s="4" t="s">
        <v>122</v>
      </c>
      <c r="N92" s="4">
        <v>2.13</v>
      </c>
      <c r="O92" s="4">
        <v>0.3</v>
      </c>
      <c r="P92" s="4">
        <v>2.14</v>
      </c>
      <c r="Q92" s="4">
        <v>0.38500000000000001</v>
      </c>
      <c r="R92" s="4">
        <v>0.84799999999999998</v>
      </c>
      <c r="S92" s="4">
        <v>0.73599999999999999</v>
      </c>
      <c r="T92">
        <v>0.64800000000000002</v>
      </c>
      <c r="U92" t="s">
        <v>280</v>
      </c>
      <c r="V92" t="s">
        <v>80</v>
      </c>
    </row>
    <row r="93" spans="1:22" x14ac:dyDescent="0.3">
      <c r="A93" t="s">
        <v>305</v>
      </c>
      <c r="B93" t="s">
        <v>32</v>
      </c>
      <c r="C93" t="s">
        <v>303</v>
      </c>
      <c r="D93" t="s">
        <v>306</v>
      </c>
      <c r="E93" s="3">
        <v>10.92864</v>
      </c>
      <c r="F93" s="3">
        <v>-0.80208000000000002</v>
      </c>
      <c r="G93" s="4">
        <v>294.3</v>
      </c>
      <c r="H93" s="4">
        <v>49.9</v>
      </c>
      <c r="I93" s="4">
        <v>21.6</v>
      </c>
      <c r="J93" s="4" t="s">
        <v>142</v>
      </c>
      <c r="K93" s="4" t="s">
        <v>143</v>
      </c>
      <c r="L93" s="4" t="s">
        <v>185</v>
      </c>
      <c r="M93" s="4" t="s">
        <v>91</v>
      </c>
      <c r="N93" s="4">
        <v>0.53</v>
      </c>
      <c r="O93" s="4">
        <v>2.5499999999999998</v>
      </c>
      <c r="P93" s="4">
        <v>1.17</v>
      </c>
      <c r="Q93" s="4">
        <v>0.36299999999999999</v>
      </c>
      <c r="R93" s="4">
        <v>0.747</v>
      </c>
      <c r="S93" s="4">
        <v>0.52400000000000002</v>
      </c>
      <c r="T93">
        <v>0.34300000000000003</v>
      </c>
      <c r="U93" t="s">
        <v>273</v>
      </c>
      <c r="V93" t="s">
        <v>80</v>
      </c>
    </row>
    <row r="94" spans="1:22" x14ac:dyDescent="0.3">
      <c r="A94" t="s">
        <v>307</v>
      </c>
      <c r="B94" t="s">
        <v>32</v>
      </c>
      <c r="C94" t="s">
        <v>303</v>
      </c>
      <c r="D94" t="s">
        <v>308</v>
      </c>
      <c r="E94" s="3">
        <v>10.766</v>
      </c>
      <c r="F94" s="3">
        <v>-0.11361</v>
      </c>
      <c r="G94" s="4">
        <v>261.8</v>
      </c>
      <c r="H94" s="4">
        <v>45.5</v>
      </c>
      <c r="I94" s="4">
        <v>11.3</v>
      </c>
      <c r="J94" s="4" t="s">
        <v>277</v>
      </c>
      <c r="K94" s="4" t="s">
        <v>278</v>
      </c>
      <c r="L94" s="4" t="s">
        <v>283</v>
      </c>
      <c r="M94" s="4" t="s">
        <v>78</v>
      </c>
      <c r="N94" s="4">
        <v>3.33</v>
      </c>
      <c r="O94" s="4">
        <v>0.27</v>
      </c>
      <c r="P94" s="4">
        <v>1.94</v>
      </c>
      <c r="Q94" s="4">
        <v>0.42099999999999999</v>
      </c>
      <c r="R94" s="4">
        <v>0.80700000000000005</v>
      </c>
      <c r="S94" s="4">
        <v>0.77800000000000002</v>
      </c>
      <c r="T94">
        <v>0.41199999999999998</v>
      </c>
      <c r="U94" t="s">
        <v>280</v>
      </c>
      <c r="V94" t="s">
        <v>80</v>
      </c>
    </row>
    <row r="95" spans="1:22" x14ac:dyDescent="0.3">
      <c r="A95" t="s">
        <v>309</v>
      </c>
      <c r="B95" t="s">
        <v>32</v>
      </c>
      <c r="C95" t="s">
        <v>292</v>
      </c>
      <c r="D95" t="s">
        <v>310</v>
      </c>
      <c r="E95" s="3">
        <v>10.790649999999999</v>
      </c>
      <c r="F95" s="3">
        <v>9.3299999999999998E-3</v>
      </c>
      <c r="G95" s="4">
        <v>257.5</v>
      </c>
      <c r="H95" s="4">
        <v>73</v>
      </c>
      <c r="I95" s="4">
        <v>8.5</v>
      </c>
      <c r="J95" s="4" t="s">
        <v>142</v>
      </c>
      <c r="K95" s="4" t="s">
        <v>143</v>
      </c>
      <c r="L95" s="4" t="s">
        <v>144</v>
      </c>
      <c r="M95" s="4" t="s">
        <v>91</v>
      </c>
      <c r="N95" s="4">
        <v>0.11</v>
      </c>
      <c r="O95" s="4">
        <v>1.6</v>
      </c>
      <c r="P95" s="4">
        <v>4.5</v>
      </c>
      <c r="Q95" s="4">
        <v>0.41499999999999998</v>
      </c>
      <c r="R95" s="4">
        <v>0.70499999999999996</v>
      </c>
      <c r="S95" s="4">
        <v>0.40899999999999997</v>
      </c>
      <c r="T95">
        <v>0.20799999999999999</v>
      </c>
      <c r="U95" t="s">
        <v>79</v>
      </c>
      <c r="V95" t="s">
        <v>80</v>
      </c>
    </row>
    <row r="96" spans="1:22" x14ac:dyDescent="0.3">
      <c r="A96" t="s">
        <v>311</v>
      </c>
      <c r="B96" t="s">
        <v>32</v>
      </c>
      <c r="C96" t="s">
        <v>271</v>
      </c>
      <c r="D96" t="s">
        <v>312</v>
      </c>
      <c r="E96" s="3">
        <v>10.39429</v>
      </c>
      <c r="F96" s="3">
        <v>-1.3781699999999999</v>
      </c>
      <c r="G96" s="4">
        <v>294.5</v>
      </c>
      <c r="H96" s="4">
        <v>74.099999999999994</v>
      </c>
      <c r="I96" s="4">
        <v>16.7</v>
      </c>
      <c r="J96" s="4" t="s">
        <v>142</v>
      </c>
      <c r="K96" s="4" t="s">
        <v>143</v>
      </c>
      <c r="L96" s="4" t="s">
        <v>185</v>
      </c>
      <c r="M96" s="4" t="s">
        <v>85</v>
      </c>
      <c r="N96" s="4">
        <v>1.33</v>
      </c>
      <c r="O96" s="4">
        <v>1.35</v>
      </c>
      <c r="P96" s="4">
        <v>7.92</v>
      </c>
      <c r="Q96" s="4">
        <v>0.36899999999999999</v>
      </c>
      <c r="R96" s="4">
        <v>0.82899999999999996</v>
      </c>
      <c r="S96" s="4">
        <v>0.47699999999999998</v>
      </c>
      <c r="T96">
        <v>0.18</v>
      </c>
      <c r="U96" t="s">
        <v>273</v>
      </c>
      <c r="V96" t="s">
        <v>80</v>
      </c>
    </row>
    <row r="97" spans="1:22" x14ac:dyDescent="0.3">
      <c r="A97" t="s">
        <v>313</v>
      </c>
      <c r="B97" t="s">
        <v>32</v>
      </c>
      <c r="C97" t="s">
        <v>275</v>
      </c>
      <c r="D97" t="s">
        <v>314</v>
      </c>
      <c r="E97" s="3">
        <v>11.04205</v>
      </c>
      <c r="F97" s="3">
        <v>-0.94201000000000001</v>
      </c>
      <c r="G97" s="4">
        <v>308.5</v>
      </c>
      <c r="H97" s="4">
        <v>53</v>
      </c>
      <c r="I97" s="4">
        <v>18.3</v>
      </c>
      <c r="J97" s="4" t="s">
        <v>101</v>
      </c>
      <c r="K97" s="4" t="s">
        <v>102</v>
      </c>
      <c r="L97" s="4" t="s">
        <v>181</v>
      </c>
      <c r="M97" s="4" t="s">
        <v>78</v>
      </c>
      <c r="N97" s="4">
        <v>1.93</v>
      </c>
      <c r="O97" s="4">
        <v>1.98</v>
      </c>
      <c r="P97" s="4">
        <v>5.67</v>
      </c>
      <c r="Q97" s="4">
        <v>0.221</v>
      </c>
      <c r="R97" s="4">
        <v>0.79</v>
      </c>
      <c r="S97" s="4">
        <v>0.69599999999999995</v>
      </c>
      <c r="T97">
        <v>0.38700000000000001</v>
      </c>
      <c r="U97" t="s">
        <v>280</v>
      </c>
      <c r="V97" t="s">
        <v>80</v>
      </c>
    </row>
    <row r="98" spans="1:22" x14ac:dyDescent="0.3">
      <c r="A98" t="s">
        <v>315</v>
      </c>
      <c r="B98" t="s">
        <v>32</v>
      </c>
      <c r="C98" t="s">
        <v>316</v>
      </c>
      <c r="D98" t="s">
        <v>317</v>
      </c>
      <c r="E98" s="3">
        <v>10.921569999999999</v>
      </c>
      <c r="F98" s="3">
        <v>-0.89048000000000005</v>
      </c>
      <c r="G98" s="4">
        <v>326.10000000000002</v>
      </c>
      <c r="H98" s="4">
        <v>20</v>
      </c>
      <c r="I98" s="4">
        <v>17.3</v>
      </c>
      <c r="J98" s="4" t="s">
        <v>101</v>
      </c>
      <c r="K98" s="4" t="s">
        <v>102</v>
      </c>
      <c r="L98" s="4" t="s">
        <v>181</v>
      </c>
      <c r="M98" s="4" t="s">
        <v>78</v>
      </c>
      <c r="N98" s="4">
        <v>1.36</v>
      </c>
      <c r="O98" s="4">
        <v>0.4</v>
      </c>
      <c r="P98" s="4">
        <v>2.36</v>
      </c>
      <c r="Q98" s="4">
        <v>0.36199999999999999</v>
      </c>
      <c r="R98" s="4">
        <v>0.77</v>
      </c>
      <c r="S98" s="4">
        <v>0.71499999999999997</v>
      </c>
      <c r="T98">
        <v>0.52500000000000002</v>
      </c>
      <c r="U98" t="s">
        <v>280</v>
      </c>
      <c r="V98" t="s">
        <v>80</v>
      </c>
    </row>
    <row r="99" spans="1:22" x14ac:dyDescent="0.3">
      <c r="A99" t="s">
        <v>318</v>
      </c>
      <c r="B99" t="s">
        <v>32</v>
      </c>
      <c r="C99" t="s">
        <v>287</v>
      </c>
      <c r="D99" t="s">
        <v>319</v>
      </c>
      <c r="E99" s="3">
        <v>10.360760000000001</v>
      </c>
      <c r="F99" s="3">
        <v>-1.40126</v>
      </c>
      <c r="G99" s="4">
        <v>242.1</v>
      </c>
      <c r="H99" s="4">
        <v>32.5</v>
      </c>
      <c r="I99" s="4">
        <v>10</v>
      </c>
      <c r="J99" s="4" t="s">
        <v>277</v>
      </c>
      <c r="K99" s="4" t="s">
        <v>278</v>
      </c>
      <c r="L99" s="4" t="s">
        <v>283</v>
      </c>
      <c r="M99" s="4" t="s">
        <v>91</v>
      </c>
      <c r="N99" s="4">
        <v>3.69</v>
      </c>
      <c r="O99" s="4">
        <v>2.06</v>
      </c>
      <c r="P99" s="4">
        <v>2.91</v>
      </c>
      <c r="Q99" s="4">
        <v>0.44</v>
      </c>
      <c r="R99" s="4">
        <v>0.73599999999999999</v>
      </c>
      <c r="S99" s="4">
        <v>0.88400000000000001</v>
      </c>
      <c r="T99">
        <v>0.42599999999999999</v>
      </c>
      <c r="U99" t="s">
        <v>280</v>
      </c>
      <c r="V99" t="s">
        <v>80</v>
      </c>
    </row>
    <row r="100" spans="1:22" x14ac:dyDescent="0.3">
      <c r="A100" t="s">
        <v>320</v>
      </c>
      <c r="B100" t="s">
        <v>32</v>
      </c>
      <c r="C100" t="s">
        <v>271</v>
      </c>
      <c r="D100" t="s">
        <v>321</v>
      </c>
      <c r="E100" s="3">
        <v>10.503</v>
      </c>
      <c r="F100" s="3">
        <v>-7.2470000000000007E-2</v>
      </c>
      <c r="G100" s="4">
        <v>266</v>
      </c>
      <c r="H100" s="4">
        <v>56.7</v>
      </c>
      <c r="I100" s="4">
        <v>13.9</v>
      </c>
      <c r="J100" s="4" t="s">
        <v>142</v>
      </c>
      <c r="K100" s="4" t="s">
        <v>143</v>
      </c>
      <c r="L100" s="4" t="s">
        <v>147</v>
      </c>
      <c r="M100" s="4" t="s">
        <v>78</v>
      </c>
      <c r="N100" s="4">
        <v>1.5</v>
      </c>
      <c r="O100" s="4">
        <v>1.84</v>
      </c>
      <c r="P100" s="4">
        <v>1.32</v>
      </c>
      <c r="Q100" s="4">
        <v>0.41699999999999998</v>
      </c>
      <c r="R100" s="4">
        <v>0.74399999999999999</v>
      </c>
      <c r="S100" s="4">
        <v>0.38400000000000001</v>
      </c>
      <c r="T100">
        <v>0.43099999999999999</v>
      </c>
      <c r="U100" t="s">
        <v>273</v>
      </c>
      <c r="V100" t="s">
        <v>80</v>
      </c>
    </row>
    <row r="101" spans="1:22" x14ac:dyDescent="0.3">
      <c r="A101" t="s">
        <v>322</v>
      </c>
      <c r="B101" t="s">
        <v>32</v>
      </c>
      <c r="C101" t="s">
        <v>323</v>
      </c>
      <c r="D101" t="s">
        <v>324</v>
      </c>
      <c r="E101" s="3">
        <v>10.796340000000001</v>
      </c>
      <c r="F101" s="3">
        <v>7.4410000000000004E-2</v>
      </c>
      <c r="G101" s="4">
        <v>289.8</v>
      </c>
      <c r="H101" s="4">
        <v>38.9</v>
      </c>
      <c r="I101" s="4">
        <v>32.1</v>
      </c>
      <c r="J101" s="4" t="s">
        <v>142</v>
      </c>
      <c r="K101" s="4" t="s">
        <v>143</v>
      </c>
      <c r="L101" s="4" t="s">
        <v>147</v>
      </c>
      <c r="M101" s="4" t="s">
        <v>78</v>
      </c>
      <c r="N101" s="4">
        <v>11.86</v>
      </c>
      <c r="O101" s="4">
        <v>1.23</v>
      </c>
      <c r="P101" s="4">
        <v>7.0000000000000007E-2</v>
      </c>
      <c r="Q101" s="4">
        <v>9.7000000000000003E-2</v>
      </c>
      <c r="R101" s="4">
        <v>0.71199999999999997</v>
      </c>
      <c r="S101" s="4">
        <v>0.51</v>
      </c>
      <c r="T101">
        <v>0.69</v>
      </c>
      <c r="U101" t="s">
        <v>104</v>
      </c>
      <c r="V101" t="s">
        <v>80</v>
      </c>
    </row>
    <row r="102" spans="1:22" x14ac:dyDescent="0.3">
      <c r="A102" t="s">
        <v>325</v>
      </c>
      <c r="B102" t="s">
        <v>32</v>
      </c>
      <c r="C102" t="s">
        <v>296</v>
      </c>
      <c r="D102" t="s">
        <v>326</v>
      </c>
      <c r="E102" s="3">
        <v>10.769019999999999</v>
      </c>
      <c r="F102" s="3">
        <v>9.8200000000000006E-3</v>
      </c>
      <c r="G102" s="4">
        <v>299.7</v>
      </c>
      <c r="H102" s="4">
        <v>20</v>
      </c>
      <c r="I102" s="4">
        <v>14.1</v>
      </c>
      <c r="J102" s="4" t="s">
        <v>101</v>
      </c>
      <c r="K102" s="4" t="s">
        <v>102</v>
      </c>
      <c r="L102" s="4" t="s">
        <v>103</v>
      </c>
      <c r="M102" s="4" t="s">
        <v>95</v>
      </c>
      <c r="N102" s="4">
        <v>1.49</v>
      </c>
      <c r="O102" s="4">
        <v>2.64</v>
      </c>
      <c r="P102" s="4">
        <v>0.49</v>
      </c>
      <c r="Q102" s="4">
        <v>0.311</v>
      </c>
      <c r="R102" s="4">
        <v>0.71599999999999997</v>
      </c>
      <c r="S102" s="4">
        <v>0.64600000000000002</v>
      </c>
      <c r="T102">
        <v>0.60299999999999998</v>
      </c>
      <c r="U102" t="s">
        <v>79</v>
      </c>
      <c r="V102" t="s">
        <v>80</v>
      </c>
    </row>
    <row r="103" spans="1:22" x14ac:dyDescent="0.3">
      <c r="A103" t="s">
        <v>327</v>
      </c>
      <c r="B103" t="s">
        <v>32</v>
      </c>
      <c r="C103" t="s">
        <v>292</v>
      </c>
      <c r="D103" t="s">
        <v>328</v>
      </c>
      <c r="E103" s="3">
        <v>10.42328</v>
      </c>
      <c r="F103" s="3">
        <v>-1.4081699999999999</v>
      </c>
      <c r="G103" s="4">
        <v>243.8</v>
      </c>
      <c r="H103" s="4">
        <v>27</v>
      </c>
      <c r="I103" s="4">
        <v>12.5</v>
      </c>
      <c r="J103" s="4" t="s">
        <v>142</v>
      </c>
      <c r="K103" s="4" t="s">
        <v>143</v>
      </c>
      <c r="L103" s="4" t="s">
        <v>185</v>
      </c>
      <c r="M103" s="4" t="s">
        <v>91</v>
      </c>
      <c r="N103" s="4">
        <v>17.96</v>
      </c>
      <c r="O103" s="4">
        <v>0.57999999999999996</v>
      </c>
      <c r="P103" s="4">
        <v>0.35</v>
      </c>
      <c r="Q103" s="4">
        <v>0.26900000000000002</v>
      </c>
      <c r="R103" s="4">
        <v>0.81200000000000006</v>
      </c>
      <c r="S103" s="4">
        <v>0.49199999999999999</v>
      </c>
      <c r="T103">
        <v>0.66500000000000004</v>
      </c>
      <c r="U103" t="s">
        <v>104</v>
      </c>
      <c r="V103" t="s">
        <v>80</v>
      </c>
    </row>
    <row r="104" spans="1:22" x14ac:dyDescent="0.3">
      <c r="A104" t="s">
        <v>329</v>
      </c>
      <c r="B104" t="s">
        <v>32</v>
      </c>
      <c r="C104" t="s">
        <v>323</v>
      </c>
      <c r="D104" t="s">
        <v>330</v>
      </c>
      <c r="E104" s="3">
        <v>10.38265</v>
      </c>
      <c r="F104" s="3">
        <v>-8.9300000000000004E-2</v>
      </c>
      <c r="G104" s="4">
        <v>263.7</v>
      </c>
      <c r="H104" s="4">
        <v>59.8</v>
      </c>
      <c r="I104" s="4">
        <v>24.5</v>
      </c>
      <c r="J104" s="4" t="s">
        <v>142</v>
      </c>
      <c r="K104" s="4" t="s">
        <v>143</v>
      </c>
      <c r="L104" s="4" t="s">
        <v>185</v>
      </c>
      <c r="M104" s="4" t="s">
        <v>85</v>
      </c>
      <c r="N104" s="4">
        <v>5.31</v>
      </c>
      <c r="O104" s="4">
        <v>2.54</v>
      </c>
      <c r="P104" s="4">
        <v>1.24</v>
      </c>
      <c r="Q104" s="4">
        <v>0.13600000000000001</v>
      </c>
      <c r="R104" s="4">
        <v>0.65100000000000002</v>
      </c>
      <c r="S104" s="4">
        <v>0.38</v>
      </c>
      <c r="T104">
        <v>0.17799999999999999</v>
      </c>
      <c r="U104" t="s">
        <v>79</v>
      </c>
      <c r="V104" t="s">
        <v>80</v>
      </c>
    </row>
    <row r="105" spans="1:22" x14ac:dyDescent="0.3">
      <c r="A105" t="s">
        <v>331</v>
      </c>
      <c r="B105" t="s">
        <v>32</v>
      </c>
      <c r="C105" t="s">
        <v>292</v>
      </c>
      <c r="D105" t="s">
        <v>332</v>
      </c>
      <c r="E105" s="3">
        <v>11.07056</v>
      </c>
      <c r="F105" s="3">
        <v>-0.40792</v>
      </c>
      <c r="G105" s="4">
        <v>296.2</v>
      </c>
      <c r="H105" s="4">
        <v>60.5</v>
      </c>
      <c r="I105" s="4">
        <v>35</v>
      </c>
      <c r="J105" s="4" t="s">
        <v>142</v>
      </c>
      <c r="K105" s="4" t="s">
        <v>143</v>
      </c>
      <c r="L105" s="4" t="s">
        <v>147</v>
      </c>
      <c r="M105" s="4" t="s">
        <v>91</v>
      </c>
      <c r="N105" s="4">
        <v>18.59</v>
      </c>
      <c r="O105" s="4">
        <v>0.84</v>
      </c>
      <c r="P105" s="4">
        <v>0.47</v>
      </c>
      <c r="Q105" s="4">
        <v>8.4000000000000005E-2</v>
      </c>
      <c r="R105" s="4">
        <v>0.70899999999999996</v>
      </c>
      <c r="S105" s="4">
        <v>0.44900000000000001</v>
      </c>
      <c r="T105">
        <v>0.66400000000000003</v>
      </c>
      <c r="U105" t="s">
        <v>104</v>
      </c>
      <c r="V105" t="s">
        <v>80</v>
      </c>
    </row>
    <row r="106" spans="1:22" x14ac:dyDescent="0.3">
      <c r="A106" t="s">
        <v>333</v>
      </c>
      <c r="B106" t="s">
        <v>32</v>
      </c>
      <c r="C106" t="s">
        <v>303</v>
      </c>
      <c r="D106" t="s">
        <v>334</v>
      </c>
      <c r="E106" s="3">
        <v>10.569940000000001</v>
      </c>
      <c r="F106" s="3">
        <v>-0.50205</v>
      </c>
      <c r="G106" s="4">
        <v>338.6</v>
      </c>
      <c r="H106" s="4">
        <v>46.5</v>
      </c>
      <c r="I106" s="4">
        <v>12.6</v>
      </c>
      <c r="J106" s="4" t="s">
        <v>277</v>
      </c>
      <c r="K106" s="4" t="s">
        <v>278</v>
      </c>
      <c r="L106" s="4" t="s">
        <v>294</v>
      </c>
      <c r="M106" s="4" t="s">
        <v>91</v>
      </c>
      <c r="N106" s="4">
        <v>0.64</v>
      </c>
      <c r="O106" s="4">
        <v>0.08</v>
      </c>
      <c r="P106" s="4">
        <v>1.52</v>
      </c>
      <c r="Q106" s="4">
        <v>0.41</v>
      </c>
      <c r="R106" s="4">
        <v>0.76</v>
      </c>
      <c r="S106" s="4">
        <v>0.76100000000000001</v>
      </c>
      <c r="T106">
        <v>0.69899999999999995</v>
      </c>
      <c r="U106" t="s">
        <v>280</v>
      </c>
      <c r="V106" t="s">
        <v>80</v>
      </c>
    </row>
    <row r="107" spans="1:22" x14ac:dyDescent="0.3">
      <c r="A107" t="s">
        <v>335</v>
      </c>
      <c r="B107" t="s">
        <v>32</v>
      </c>
      <c r="C107" t="s">
        <v>271</v>
      </c>
      <c r="D107" t="s">
        <v>336</v>
      </c>
      <c r="E107" s="3">
        <v>10.997249999999999</v>
      </c>
      <c r="F107" s="3">
        <v>-1.3167899999999999</v>
      </c>
      <c r="G107" s="4">
        <v>298.60000000000002</v>
      </c>
      <c r="H107" s="4">
        <v>35.1</v>
      </c>
      <c r="I107" s="4">
        <v>27.5</v>
      </c>
      <c r="J107" s="4" t="s">
        <v>277</v>
      </c>
      <c r="K107" s="4" t="s">
        <v>278</v>
      </c>
      <c r="L107" s="4" t="s">
        <v>283</v>
      </c>
      <c r="M107" s="4" t="s">
        <v>95</v>
      </c>
      <c r="N107" s="4">
        <v>1.0900000000000001</v>
      </c>
      <c r="O107" s="4">
        <v>3.97</v>
      </c>
      <c r="P107" s="4">
        <v>0.73</v>
      </c>
      <c r="Q107" s="4">
        <v>0.21199999999999999</v>
      </c>
      <c r="R107" s="4">
        <v>0.85799999999999998</v>
      </c>
      <c r="S107" s="4">
        <v>0.71099999999999997</v>
      </c>
      <c r="T107">
        <v>0.41799999999999998</v>
      </c>
      <c r="U107" t="s">
        <v>280</v>
      </c>
      <c r="V107" t="s">
        <v>80</v>
      </c>
    </row>
    <row r="108" spans="1:22" x14ac:dyDescent="0.3">
      <c r="A108" t="s">
        <v>337</v>
      </c>
      <c r="B108" t="s">
        <v>32</v>
      </c>
      <c r="C108" t="s">
        <v>323</v>
      </c>
      <c r="D108" t="s">
        <v>338</v>
      </c>
      <c r="E108" s="3">
        <v>10.667210000000001</v>
      </c>
      <c r="F108" s="3">
        <v>-0.16661999999999999</v>
      </c>
      <c r="G108" s="4">
        <v>245.4</v>
      </c>
      <c r="H108" s="4">
        <v>20</v>
      </c>
      <c r="I108" s="4">
        <v>19.899999999999999</v>
      </c>
      <c r="J108" s="4" t="s">
        <v>142</v>
      </c>
      <c r="K108" s="4" t="s">
        <v>143</v>
      </c>
      <c r="L108" s="4" t="s">
        <v>144</v>
      </c>
      <c r="M108" s="4" t="s">
        <v>91</v>
      </c>
      <c r="N108" s="4">
        <v>21.91</v>
      </c>
      <c r="O108" s="4">
        <v>4.0599999999999996</v>
      </c>
      <c r="P108" s="4">
        <v>1.74</v>
      </c>
      <c r="Q108" s="4">
        <v>0.05</v>
      </c>
      <c r="R108" s="4">
        <v>0.77900000000000003</v>
      </c>
      <c r="S108" s="4">
        <v>0.60299999999999998</v>
      </c>
      <c r="T108">
        <v>0.29899999999999999</v>
      </c>
      <c r="U108" t="s">
        <v>273</v>
      </c>
      <c r="V108" t="s">
        <v>80</v>
      </c>
    </row>
    <row r="109" spans="1:22" x14ac:dyDescent="0.3">
      <c r="A109" t="s">
        <v>339</v>
      </c>
      <c r="B109" t="s">
        <v>32</v>
      </c>
      <c r="C109" t="s">
        <v>296</v>
      </c>
      <c r="D109" t="s">
        <v>340</v>
      </c>
      <c r="E109" s="3">
        <v>11.006919999999999</v>
      </c>
      <c r="F109" s="3">
        <v>-0.16744999999999999</v>
      </c>
      <c r="G109" s="4">
        <v>307.3</v>
      </c>
      <c r="H109" s="4">
        <v>57.6</v>
      </c>
      <c r="I109" s="4">
        <v>14.4</v>
      </c>
      <c r="J109" s="4" t="s">
        <v>101</v>
      </c>
      <c r="K109" s="4" t="s">
        <v>102</v>
      </c>
      <c r="L109" s="4" t="s">
        <v>103</v>
      </c>
      <c r="M109" s="4" t="s">
        <v>122</v>
      </c>
      <c r="N109" s="4">
        <v>3.06</v>
      </c>
      <c r="O109" s="4">
        <v>0.78</v>
      </c>
      <c r="P109" s="4">
        <v>0.5</v>
      </c>
      <c r="Q109" s="4">
        <v>0.33400000000000002</v>
      </c>
      <c r="R109" s="4">
        <v>0.77600000000000002</v>
      </c>
      <c r="S109" s="4">
        <v>0.74</v>
      </c>
      <c r="T109">
        <v>0.66800000000000004</v>
      </c>
      <c r="U109" t="s">
        <v>280</v>
      </c>
      <c r="V109" t="s">
        <v>80</v>
      </c>
    </row>
    <row r="110" spans="1:22" x14ac:dyDescent="0.3">
      <c r="A110" t="s">
        <v>341</v>
      </c>
      <c r="B110" t="s">
        <v>32</v>
      </c>
      <c r="C110" t="s">
        <v>287</v>
      </c>
      <c r="D110" t="s">
        <v>342</v>
      </c>
      <c r="E110" s="3">
        <v>10.58803</v>
      </c>
      <c r="F110" s="3">
        <v>-0.79293000000000002</v>
      </c>
      <c r="G110" s="4">
        <v>242.2</v>
      </c>
      <c r="H110" s="4">
        <v>35.6</v>
      </c>
      <c r="I110" s="4">
        <v>25</v>
      </c>
      <c r="J110" s="4" t="s">
        <v>142</v>
      </c>
      <c r="K110" s="4" t="s">
        <v>143</v>
      </c>
      <c r="L110" s="4" t="s">
        <v>144</v>
      </c>
      <c r="M110" s="4" t="s">
        <v>85</v>
      </c>
      <c r="N110" s="4">
        <v>15.86</v>
      </c>
      <c r="O110" s="4">
        <v>2.81</v>
      </c>
      <c r="P110" s="4">
        <v>4.88</v>
      </c>
      <c r="Q110" s="4">
        <v>0.128</v>
      </c>
      <c r="R110" s="4">
        <v>0.71899999999999997</v>
      </c>
      <c r="S110" s="4">
        <v>0.68600000000000005</v>
      </c>
      <c r="T110">
        <v>6.7000000000000004E-2</v>
      </c>
      <c r="U110" t="s">
        <v>280</v>
      </c>
      <c r="V110" t="s">
        <v>80</v>
      </c>
    </row>
    <row r="111" spans="1:22" x14ac:dyDescent="0.3">
      <c r="A111" t="s">
        <v>343</v>
      </c>
      <c r="B111" t="s">
        <v>32</v>
      </c>
      <c r="C111" t="s">
        <v>271</v>
      </c>
      <c r="D111" t="s">
        <v>344</v>
      </c>
      <c r="E111" s="3">
        <v>11.05185</v>
      </c>
      <c r="F111" s="3">
        <v>-0.30375999999999997</v>
      </c>
      <c r="G111" s="4">
        <v>252.2</v>
      </c>
      <c r="H111" s="4">
        <v>84.8</v>
      </c>
      <c r="I111" s="4">
        <v>10.7</v>
      </c>
      <c r="J111" s="4" t="s">
        <v>277</v>
      </c>
      <c r="K111" s="4" t="s">
        <v>278</v>
      </c>
      <c r="L111" s="4" t="s">
        <v>283</v>
      </c>
      <c r="M111" s="4" t="s">
        <v>91</v>
      </c>
      <c r="N111" s="4">
        <v>22.66</v>
      </c>
      <c r="O111" s="4">
        <v>0.89</v>
      </c>
      <c r="P111" s="4">
        <v>0.67</v>
      </c>
      <c r="Q111" s="4">
        <v>0.189</v>
      </c>
      <c r="R111" s="4">
        <v>0.71599999999999997</v>
      </c>
      <c r="S111" s="4">
        <v>0.52300000000000002</v>
      </c>
      <c r="T111">
        <v>0.44800000000000001</v>
      </c>
      <c r="U111" t="s">
        <v>79</v>
      </c>
      <c r="V111" t="s">
        <v>80</v>
      </c>
    </row>
    <row r="112" spans="1:22" x14ac:dyDescent="0.3">
      <c r="A112" t="s">
        <v>345</v>
      </c>
      <c r="B112" t="s">
        <v>32</v>
      </c>
      <c r="C112" t="s">
        <v>292</v>
      </c>
      <c r="D112" t="s">
        <v>346</v>
      </c>
      <c r="E112" s="3">
        <v>10.675520000000001</v>
      </c>
      <c r="F112" s="3">
        <v>-0.86729000000000001</v>
      </c>
      <c r="G112" s="4">
        <v>235.2</v>
      </c>
      <c r="H112" s="4">
        <v>69.099999999999994</v>
      </c>
      <c r="I112" s="4">
        <v>11.2</v>
      </c>
      <c r="J112" s="4" t="s">
        <v>277</v>
      </c>
      <c r="K112" s="4" t="s">
        <v>278</v>
      </c>
      <c r="L112" s="4" t="s">
        <v>279</v>
      </c>
      <c r="M112" s="4" t="s">
        <v>91</v>
      </c>
      <c r="N112" s="4">
        <v>0.7</v>
      </c>
      <c r="O112" s="4">
        <v>1.64</v>
      </c>
      <c r="P112" s="4">
        <v>1.84</v>
      </c>
      <c r="Q112" s="4">
        <v>0.41599999999999998</v>
      </c>
      <c r="R112" s="4">
        <v>0.76600000000000001</v>
      </c>
      <c r="S112" s="4">
        <v>0.371</v>
      </c>
      <c r="T112">
        <v>0.38500000000000001</v>
      </c>
      <c r="U112" t="s">
        <v>273</v>
      </c>
      <c r="V112" t="s">
        <v>80</v>
      </c>
    </row>
    <row r="113" spans="1:22" x14ac:dyDescent="0.3">
      <c r="A113" t="s">
        <v>347</v>
      </c>
      <c r="B113" t="s">
        <v>32</v>
      </c>
      <c r="C113" t="s">
        <v>316</v>
      </c>
      <c r="D113" t="s">
        <v>348</v>
      </c>
      <c r="E113" s="3">
        <v>10.6928</v>
      </c>
      <c r="F113" s="3">
        <v>-0.76658000000000004</v>
      </c>
      <c r="G113" s="4">
        <v>227.6</v>
      </c>
      <c r="H113" s="4">
        <v>47.2</v>
      </c>
      <c r="I113" s="4">
        <v>20.7</v>
      </c>
      <c r="J113" s="4" t="s">
        <v>101</v>
      </c>
      <c r="K113" s="4" t="s">
        <v>102</v>
      </c>
      <c r="L113" s="4" t="s">
        <v>116</v>
      </c>
      <c r="M113" s="4" t="s">
        <v>95</v>
      </c>
      <c r="N113" s="4">
        <v>2.54</v>
      </c>
      <c r="O113" s="4">
        <v>0.88</v>
      </c>
      <c r="P113" s="4">
        <v>0.91</v>
      </c>
      <c r="Q113" s="4">
        <v>0.33900000000000002</v>
      </c>
      <c r="R113" s="4">
        <v>0.80300000000000005</v>
      </c>
      <c r="S113" s="4">
        <v>0.69299999999999995</v>
      </c>
      <c r="T113">
        <v>0.73099999999999998</v>
      </c>
      <c r="U113" t="s">
        <v>280</v>
      </c>
      <c r="V113" t="s">
        <v>80</v>
      </c>
    </row>
    <row r="114" spans="1:22" x14ac:dyDescent="0.3">
      <c r="A114" t="s">
        <v>349</v>
      </c>
      <c r="B114" t="s">
        <v>32</v>
      </c>
      <c r="C114" t="s">
        <v>275</v>
      </c>
      <c r="D114" t="s">
        <v>350</v>
      </c>
      <c r="E114" s="3">
        <v>10.9816</v>
      </c>
      <c r="F114" s="3">
        <v>-0.98428000000000004</v>
      </c>
      <c r="G114" s="4">
        <v>340.4</v>
      </c>
      <c r="H114" s="4">
        <v>45.4</v>
      </c>
      <c r="I114" s="4">
        <v>29.4</v>
      </c>
      <c r="J114" s="4" t="s">
        <v>142</v>
      </c>
      <c r="K114" s="4" t="s">
        <v>143</v>
      </c>
      <c r="L114" s="4" t="s">
        <v>147</v>
      </c>
      <c r="M114" s="4" t="s">
        <v>91</v>
      </c>
      <c r="N114" s="4">
        <v>8.68</v>
      </c>
      <c r="O114" s="4">
        <v>0.53</v>
      </c>
      <c r="P114" s="4">
        <v>1.26</v>
      </c>
      <c r="Q114" s="4">
        <v>0.109</v>
      </c>
      <c r="R114" s="4">
        <v>0.875</v>
      </c>
      <c r="S114" s="4">
        <v>0.64</v>
      </c>
      <c r="T114">
        <v>0.34799999999999998</v>
      </c>
      <c r="U114" t="s">
        <v>273</v>
      </c>
      <c r="V114" t="s">
        <v>80</v>
      </c>
    </row>
    <row r="115" spans="1:22" x14ac:dyDescent="0.3">
      <c r="A115" t="s">
        <v>351</v>
      </c>
      <c r="B115" t="s">
        <v>32</v>
      </c>
      <c r="C115" t="s">
        <v>316</v>
      </c>
      <c r="D115" t="s">
        <v>352</v>
      </c>
      <c r="E115" s="3">
        <v>10.953379999999999</v>
      </c>
      <c r="F115" s="3">
        <v>-0.57325000000000004</v>
      </c>
      <c r="G115" s="4">
        <v>288.39999999999998</v>
      </c>
      <c r="H115" s="4">
        <v>22.6</v>
      </c>
      <c r="I115" s="4">
        <v>19.5</v>
      </c>
      <c r="J115" s="4" t="s">
        <v>277</v>
      </c>
      <c r="K115" s="4" t="s">
        <v>278</v>
      </c>
      <c r="L115" s="4" t="s">
        <v>283</v>
      </c>
      <c r="M115" s="4" t="s">
        <v>78</v>
      </c>
      <c r="N115" s="4">
        <v>6.89</v>
      </c>
      <c r="O115" s="4">
        <v>0.1</v>
      </c>
      <c r="P115" s="4">
        <v>1.83</v>
      </c>
      <c r="Q115" s="4">
        <v>0.30599999999999999</v>
      </c>
      <c r="R115" s="4">
        <v>0.8</v>
      </c>
      <c r="S115" s="4">
        <v>0.84499999999999997</v>
      </c>
      <c r="T115">
        <v>0.53300000000000003</v>
      </c>
      <c r="U115" t="s">
        <v>280</v>
      </c>
      <c r="V115" t="s">
        <v>80</v>
      </c>
    </row>
    <row r="116" spans="1:22" x14ac:dyDescent="0.3">
      <c r="A116" t="s">
        <v>353</v>
      </c>
      <c r="B116" t="s">
        <v>32</v>
      </c>
      <c r="C116" t="s">
        <v>287</v>
      </c>
      <c r="D116" t="s">
        <v>354</v>
      </c>
      <c r="E116" s="3">
        <v>10.537520000000001</v>
      </c>
      <c r="F116" s="3">
        <v>-1.1009100000000001</v>
      </c>
      <c r="G116" s="4">
        <v>276.3</v>
      </c>
      <c r="H116" s="4">
        <v>36.5</v>
      </c>
      <c r="I116" s="4">
        <v>31.1</v>
      </c>
      <c r="J116" s="4" t="s">
        <v>277</v>
      </c>
      <c r="K116" s="4" t="s">
        <v>278</v>
      </c>
      <c r="L116" s="4" t="s">
        <v>283</v>
      </c>
      <c r="M116" s="4" t="s">
        <v>91</v>
      </c>
      <c r="N116" s="4">
        <v>1.47</v>
      </c>
      <c r="O116" s="4">
        <v>0.35</v>
      </c>
      <c r="P116" s="4">
        <v>0.33</v>
      </c>
      <c r="Q116" s="4">
        <v>0.17499999999999999</v>
      </c>
      <c r="R116" s="4">
        <v>0.79500000000000004</v>
      </c>
      <c r="S116" s="4">
        <v>0.872</v>
      </c>
      <c r="T116">
        <v>0.59599999999999997</v>
      </c>
      <c r="U116" t="s">
        <v>280</v>
      </c>
      <c r="V116" t="s">
        <v>80</v>
      </c>
    </row>
    <row r="117" spans="1:22" x14ac:dyDescent="0.3">
      <c r="A117" t="s">
        <v>355</v>
      </c>
      <c r="B117" t="s">
        <v>32</v>
      </c>
      <c r="C117" t="s">
        <v>316</v>
      </c>
      <c r="D117" t="s">
        <v>356</v>
      </c>
      <c r="E117" s="3">
        <v>10.66493</v>
      </c>
      <c r="F117" s="3">
        <v>-0.27237</v>
      </c>
      <c r="G117" s="4">
        <v>278.8</v>
      </c>
      <c r="H117" s="4">
        <v>39.299999999999997</v>
      </c>
      <c r="I117" s="4">
        <v>14.3</v>
      </c>
      <c r="J117" s="4" t="s">
        <v>101</v>
      </c>
      <c r="K117" s="4" t="s">
        <v>102</v>
      </c>
      <c r="L117" s="4" t="s">
        <v>181</v>
      </c>
      <c r="M117" s="4" t="s">
        <v>122</v>
      </c>
      <c r="N117" s="4">
        <v>0.18</v>
      </c>
      <c r="O117" s="4">
        <v>1.63</v>
      </c>
      <c r="P117" s="4">
        <v>3.36</v>
      </c>
      <c r="Q117" s="4">
        <v>0.39</v>
      </c>
      <c r="R117" s="4">
        <v>0.70199999999999996</v>
      </c>
      <c r="S117" s="4">
        <v>0.63500000000000001</v>
      </c>
      <c r="T117">
        <v>0.60799999999999998</v>
      </c>
      <c r="U117" t="s">
        <v>79</v>
      </c>
      <c r="V117" t="s">
        <v>80</v>
      </c>
    </row>
    <row r="118" spans="1:22" x14ac:dyDescent="0.3">
      <c r="A118" t="s">
        <v>357</v>
      </c>
      <c r="B118" t="s">
        <v>32</v>
      </c>
      <c r="C118" t="s">
        <v>296</v>
      </c>
      <c r="D118" t="s">
        <v>358</v>
      </c>
      <c r="E118" s="3">
        <v>11.141640000000001</v>
      </c>
      <c r="F118" s="3">
        <v>-1.3154399999999999</v>
      </c>
      <c r="G118" s="4">
        <v>272.5</v>
      </c>
      <c r="H118" s="4">
        <v>35.799999999999997</v>
      </c>
      <c r="I118" s="4">
        <v>18.7</v>
      </c>
      <c r="J118" s="4" t="s">
        <v>142</v>
      </c>
      <c r="K118" s="4" t="s">
        <v>143</v>
      </c>
      <c r="L118" s="4" t="s">
        <v>144</v>
      </c>
      <c r="M118" s="4" t="s">
        <v>95</v>
      </c>
      <c r="N118" s="4">
        <v>8.49</v>
      </c>
      <c r="O118" s="4">
        <v>3.72</v>
      </c>
      <c r="P118" s="4">
        <v>2.1800000000000002</v>
      </c>
      <c r="Q118" s="4">
        <v>0.20499999999999999</v>
      </c>
      <c r="R118" s="4">
        <v>0.76900000000000002</v>
      </c>
      <c r="S118" s="4">
        <v>0.69099999999999995</v>
      </c>
      <c r="T118">
        <v>0.34399999999999997</v>
      </c>
      <c r="U118" t="s">
        <v>280</v>
      </c>
      <c r="V118" t="s">
        <v>80</v>
      </c>
    </row>
    <row r="119" spans="1:22" x14ac:dyDescent="0.3">
      <c r="A119" t="s">
        <v>359</v>
      </c>
      <c r="B119" t="s">
        <v>32</v>
      </c>
      <c r="C119" t="s">
        <v>296</v>
      </c>
      <c r="D119" t="s">
        <v>360</v>
      </c>
      <c r="E119" s="3">
        <v>10.51084</v>
      </c>
      <c r="F119" s="3">
        <v>-0.68847000000000003</v>
      </c>
      <c r="G119" s="4">
        <v>256.39999999999998</v>
      </c>
      <c r="H119" s="4">
        <v>62</v>
      </c>
      <c r="I119" s="4">
        <v>13.6</v>
      </c>
      <c r="J119" s="4" t="s">
        <v>101</v>
      </c>
      <c r="K119" s="4" t="s">
        <v>102</v>
      </c>
      <c r="L119" s="4" t="s">
        <v>103</v>
      </c>
      <c r="M119" s="4" t="s">
        <v>91</v>
      </c>
      <c r="N119" s="4">
        <v>0.1</v>
      </c>
      <c r="O119" s="4">
        <v>0.05</v>
      </c>
      <c r="P119" s="4">
        <v>5.72</v>
      </c>
      <c r="Q119" s="4">
        <v>0.42299999999999999</v>
      </c>
      <c r="R119" s="4">
        <v>0.84699999999999998</v>
      </c>
      <c r="S119" s="4">
        <v>0.89100000000000001</v>
      </c>
      <c r="T119">
        <v>0.48599999999999999</v>
      </c>
      <c r="U119" t="s">
        <v>280</v>
      </c>
      <c r="V119" t="s">
        <v>80</v>
      </c>
    </row>
    <row r="120" spans="1:22" x14ac:dyDescent="0.3">
      <c r="A120" t="s">
        <v>361</v>
      </c>
      <c r="B120" t="s">
        <v>32</v>
      </c>
      <c r="C120" t="s">
        <v>323</v>
      </c>
      <c r="D120" t="s">
        <v>362</v>
      </c>
      <c r="E120" s="3">
        <v>10.425509999999999</v>
      </c>
      <c r="F120" s="3">
        <v>-9.7860000000000003E-2</v>
      </c>
      <c r="G120" s="4">
        <v>280</v>
      </c>
      <c r="H120" s="4">
        <v>67.099999999999994</v>
      </c>
      <c r="I120" s="4">
        <v>19.100000000000001</v>
      </c>
      <c r="J120" s="4" t="s">
        <v>142</v>
      </c>
      <c r="K120" s="4" t="s">
        <v>143</v>
      </c>
      <c r="L120" s="4" t="s">
        <v>185</v>
      </c>
      <c r="M120" s="4" t="s">
        <v>85</v>
      </c>
      <c r="N120" s="4">
        <v>10.45</v>
      </c>
      <c r="O120" s="4">
        <v>0.16</v>
      </c>
      <c r="P120" s="4">
        <v>1.43</v>
      </c>
      <c r="Q120" s="4">
        <v>0.27700000000000002</v>
      </c>
      <c r="R120" s="4">
        <v>0.754</v>
      </c>
      <c r="S120" s="4">
        <v>0.58799999999999997</v>
      </c>
      <c r="T120">
        <v>8.5999999999999993E-2</v>
      </c>
      <c r="U120" t="s">
        <v>273</v>
      </c>
      <c r="V120" t="s">
        <v>80</v>
      </c>
    </row>
    <row r="121" spans="1:22" x14ac:dyDescent="0.3">
      <c r="A121" t="s">
        <v>363</v>
      </c>
      <c r="B121" t="s">
        <v>32</v>
      </c>
      <c r="C121" t="s">
        <v>316</v>
      </c>
      <c r="D121" t="s">
        <v>364</v>
      </c>
      <c r="E121" s="3">
        <v>10.42178</v>
      </c>
      <c r="F121" s="3">
        <v>-0.33527000000000001</v>
      </c>
      <c r="G121" s="4">
        <v>309.3</v>
      </c>
      <c r="H121" s="4">
        <v>22.6</v>
      </c>
      <c r="I121" s="4">
        <v>14.6</v>
      </c>
      <c r="J121" s="4" t="s">
        <v>142</v>
      </c>
      <c r="K121" s="4" t="s">
        <v>143</v>
      </c>
      <c r="L121" s="4" t="s">
        <v>185</v>
      </c>
      <c r="M121" s="4" t="s">
        <v>95</v>
      </c>
      <c r="N121" s="4">
        <v>6.01</v>
      </c>
      <c r="O121" s="4">
        <v>4.67</v>
      </c>
      <c r="P121" s="4">
        <v>6.87</v>
      </c>
      <c r="Q121" s="4">
        <v>0.33400000000000002</v>
      </c>
      <c r="R121" s="4">
        <v>0.66700000000000004</v>
      </c>
      <c r="S121" s="4">
        <v>0.66600000000000004</v>
      </c>
      <c r="T121">
        <v>0.16900000000000001</v>
      </c>
      <c r="U121" t="s">
        <v>280</v>
      </c>
      <c r="V121" t="s">
        <v>80</v>
      </c>
    </row>
    <row r="122" spans="1:22" x14ac:dyDescent="0.3">
      <c r="A122" t="s">
        <v>365</v>
      </c>
      <c r="B122" t="s">
        <v>50</v>
      </c>
      <c r="C122" t="s">
        <v>366</v>
      </c>
      <c r="D122" t="s">
        <v>367</v>
      </c>
      <c r="E122" s="3">
        <v>10.946120000000001</v>
      </c>
      <c r="F122" s="3">
        <v>-2.2436600000000002</v>
      </c>
      <c r="G122" s="4">
        <v>298.2</v>
      </c>
      <c r="H122" s="4">
        <v>53.9</v>
      </c>
      <c r="I122" s="4">
        <v>15.4</v>
      </c>
      <c r="J122" s="4" t="s">
        <v>277</v>
      </c>
      <c r="K122" s="4" t="s">
        <v>278</v>
      </c>
      <c r="L122" s="4" t="s">
        <v>294</v>
      </c>
      <c r="M122" s="4" t="s">
        <v>91</v>
      </c>
      <c r="N122" s="4">
        <v>3.64</v>
      </c>
      <c r="O122" s="4">
        <v>1.77</v>
      </c>
      <c r="P122" s="4">
        <v>3.36</v>
      </c>
      <c r="Q122" s="4">
        <v>0.27600000000000002</v>
      </c>
      <c r="R122" s="4">
        <v>0.74399999999999999</v>
      </c>
      <c r="S122" s="4">
        <v>0.251</v>
      </c>
      <c r="T122">
        <v>0.28999999999999998</v>
      </c>
      <c r="U122" t="s">
        <v>273</v>
      </c>
      <c r="V122" t="s">
        <v>80</v>
      </c>
    </row>
    <row r="123" spans="1:22" x14ac:dyDescent="0.3">
      <c r="A123" t="s">
        <v>368</v>
      </c>
      <c r="B123" t="s">
        <v>50</v>
      </c>
      <c r="C123" t="s">
        <v>366</v>
      </c>
      <c r="D123" t="s">
        <v>369</v>
      </c>
      <c r="E123" s="3">
        <v>10.2437</v>
      </c>
      <c r="F123" s="3">
        <v>-2.5610599999999999</v>
      </c>
      <c r="G123" s="4">
        <v>256.5</v>
      </c>
      <c r="H123" s="4">
        <v>72.400000000000006</v>
      </c>
      <c r="I123" s="4">
        <v>16.899999999999999</v>
      </c>
      <c r="J123" s="4" t="s">
        <v>75</v>
      </c>
      <c r="K123" s="4" t="s">
        <v>76</v>
      </c>
      <c r="L123" s="4" t="s">
        <v>94</v>
      </c>
      <c r="M123" s="4" t="s">
        <v>85</v>
      </c>
      <c r="N123" s="4">
        <v>3.44</v>
      </c>
      <c r="O123" s="4">
        <v>2.57</v>
      </c>
      <c r="P123" s="4">
        <v>1.23</v>
      </c>
      <c r="Q123" s="4">
        <v>0.22600000000000001</v>
      </c>
      <c r="R123" s="4">
        <v>0.63200000000000001</v>
      </c>
      <c r="S123" s="4">
        <v>8.6999999999999994E-2</v>
      </c>
      <c r="T123">
        <v>0.193</v>
      </c>
      <c r="U123" t="s">
        <v>79</v>
      </c>
      <c r="V123" t="s">
        <v>80</v>
      </c>
    </row>
    <row r="124" spans="1:22" x14ac:dyDescent="0.3">
      <c r="A124" t="s">
        <v>370</v>
      </c>
      <c r="B124" t="s">
        <v>50</v>
      </c>
      <c r="C124" t="s">
        <v>366</v>
      </c>
      <c r="D124" t="s">
        <v>371</v>
      </c>
      <c r="E124" s="3">
        <v>10.63458</v>
      </c>
      <c r="F124" s="3">
        <v>-1.7440599999999999</v>
      </c>
      <c r="G124" s="4">
        <v>231.6</v>
      </c>
      <c r="H124" s="4">
        <v>39.200000000000003</v>
      </c>
      <c r="I124" s="4">
        <v>24.7</v>
      </c>
      <c r="J124" s="4" t="s">
        <v>142</v>
      </c>
      <c r="K124" s="4" t="s">
        <v>143</v>
      </c>
      <c r="L124" s="4" t="s">
        <v>147</v>
      </c>
      <c r="M124" s="4" t="s">
        <v>78</v>
      </c>
      <c r="N124" s="4">
        <v>0.61</v>
      </c>
      <c r="O124" s="4">
        <v>0.05</v>
      </c>
      <c r="P124" s="4">
        <v>5.61</v>
      </c>
      <c r="Q124" s="4">
        <v>0.30199999999999999</v>
      </c>
      <c r="R124" s="4">
        <v>0.71599999999999997</v>
      </c>
      <c r="S124" s="4">
        <v>0.21299999999999999</v>
      </c>
      <c r="T124">
        <v>0.80600000000000005</v>
      </c>
      <c r="U124" t="s">
        <v>104</v>
      </c>
      <c r="V124" t="s">
        <v>80</v>
      </c>
    </row>
    <row r="125" spans="1:22" x14ac:dyDescent="0.3">
      <c r="A125" t="s">
        <v>372</v>
      </c>
      <c r="B125" t="s">
        <v>50</v>
      </c>
      <c r="C125" t="s">
        <v>366</v>
      </c>
      <c r="D125" t="s">
        <v>373</v>
      </c>
      <c r="E125" s="3">
        <v>9.8171300000000006</v>
      </c>
      <c r="F125" s="3">
        <v>-2.7948</v>
      </c>
      <c r="G125" s="4">
        <v>230</v>
      </c>
      <c r="H125" s="4">
        <v>20</v>
      </c>
      <c r="I125" s="4">
        <v>15.2</v>
      </c>
      <c r="J125" s="4" t="s">
        <v>101</v>
      </c>
      <c r="K125" s="4" t="s">
        <v>102</v>
      </c>
      <c r="L125" s="4" t="s">
        <v>103</v>
      </c>
      <c r="M125" s="4" t="s">
        <v>78</v>
      </c>
      <c r="N125" s="4">
        <v>0.62</v>
      </c>
      <c r="O125" s="4">
        <v>0.77</v>
      </c>
      <c r="P125" s="4">
        <v>2.63</v>
      </c>
      <c r="Q125" s="4">
        <v>0.39500000000000002</v>
      </c>
      <c r="R125" s="4">
        <v>0.72799999999999998</v>
      </c>
      <c r="S125" s="4">
        <v>0.13100000000000001</v>
      </c>
      <c r="T125">
        <v>0.60199999999999998</v>
      </c>
      <c r="U125" t="s">
        <v>273</v>
      </c>
      <c r="V125" t="s">
        <v>80</v>
      </c>
    </row>
    <row r="126" spans="1:22" x14ac:dyDescent="0.3">
      <c r="A126" t="s">
        <v>374</v>
      </c>
      <c r="B126" t="s">
        <v>50</v>
      </c>
      <c r="C126" t="s">
        <v>375</v>
      </c>
      <c r="D126" t="s">
        <v>376</v>
      </c>
      <c r="E126" s="3">
        <v>10.289199999999999</v>
      </c>
      <c r="F126" s="3">
        <v>-2.3511199999999999</v>
      </c>
      <c r="G126" s="4">
        <v>257.5</v>
      </c>
      <c r="H126" s="4">
        <v>35.5</v>
      </c>
      <c r="I126" s="4">
        <v>15.3</v>
      </c>
      <c r="J126" s="4" t="s">
        <v>101</v>
      </c>
      <c r="K126" s="4" t="s">
        <v>102</v>
      </c>
      <c r="L126" s="4" t="s">
        <v>116</v>
      </c>
      <c r="M126" s="4" t="s">
        <v>91</v>
      </c>
      <c r="N126" s="4">
        <v>5.13</v>
      </c>
      <c r="O126" s="4">
        <v>4.47</v>
      </c>
      <c r="P126" s="4">
        <v>10.02</v>
      </c>
      <c r="Q126" s="4">
        <v>0.27800000000000002</v>
      </c>
      <c r="R126" s="4">
        <v>0.71299999999999997</v>
      </c>
      <c r="S126" s="4">
        <v>0.34899999999999998</v>
      </c>
      <c r="T126">
        <v>0.46100000000000002</v>
      </c>
      <c r="U126" t="s">
        <v>79</v>
      </c>
      <c r="V126" t="s">
        <v>80</v>
      </c>
    </row>
    <row r="127" spans="1:22" x14ac:dyDescent="0.3">
      <c r="A127" t="s">
        <v>377</v>
      </c>
      <c r="B127" t="s">
        <v>50</v>
      </c>
      <c r="C127" t="s">
        <v>378</v>
      </c>
      <c r="D127" t="s">
        <v>379</v>
      </c>
      <c r="E127" s="3">
        <v>10.30367</v>
      </c>
      <c r="F127" s="3">
        <v>-2.3025199999999999</v>
      </c>
      <c r="G127" s="4">
        <v>280.5</v>
      </c>
      <c r="H127" s="4">
        <v>38.4</v>
      </c>
      <c r="I127" s="4">
        <v>10.8</v>
      </c>
      <c r="J127" s="4" t="s">
        <v>101</v>
      </c>
      <c r="K127" s="4" t="s">
        <v>102</v>
      </c>
      <c r="L127" s="4" t="s">
        <v>116</v>
      </c>
      <c r="M127" s="4" t="s">
        <v>91</v>
      </c>
      <c r="N127" s="4">
        <v>0.55000000000000004</v>
      </c>
      <c r="O127" s="4">
        <v>9.9700000000000006</v>
      </c>
      <c r="P127" s="4">
        <v>1.05</v>
      </c>
      <c r="Q127" s="4">
        <v>0.49199999999999999</v>
      </c>
      <c r="R127" s="4">
        <v>0.67200000000000004</v>
      </c>
      <c r="S127" s="4">
        <v>0.27600000000000002</v>
      </c>
      <c r="T127">
        <v>0.26700000000000002</v>
      </c>
      <c r="U127" t="s">
        <v>79</v>
      </c>
      <c r="V127" t="s">
        <v>80</v>
      </c>
    </row>
    <row r="128" spans="1:22" x14ac:dyDescent="0.3">
      <c r="A128" t="s">
        <v>380</v>
      </c>
      <c r="B128" t="s">
        <v>50</v>
      </c>
      <c r="C128" t="s">
        <v>375</v>
      </c>
      <c r="D128" t="s">
        <v>381</v>
      </c>
      <c r="E128" s="3">
        <v>9.9512800000000006</v>
      </c>
      <c r="F128" s="3">
        <v>-2.1771799999999999</v>
      </c>
      <c r="G128" s="4">
        <v>224.5</v>
      </c>
      <c r="H128" s="4">
        <v>42.4</v>
      </c>
      <c r="I128" s="4">
        <v>16.899999999999999</v>
      </c>
      <c r="J128" s="4" t="s">
        <v>101</v>
      </c>
      <c r="K128" s="4" t="s">
        <v>102</v>
      </c>
      <c r="L128" s="4" t="s">
        <v>103</v>
      </c>
      <c r="M128" s="4" t="s">
        <v>91</v>
      </c>
      <c r="N128" s="4">
        <v>2.23</v>
      </c>
      <c r="O128" s="4">
        <v>1.34</v>
      </c>
      <c r="P128" s="4">
        <v>2.2200000000000002</v>
      </c>
      <c r="Q128" s="4">
        <v>0.38900000000000001</v>
      </c>
      <c r="R128" s="4">
        <v>0.69299999999999995</v>
      </c>
      <c r="S128" s="4">
        <v>0.44500000000000001</v>
      </c>
      <c r="T128">
        <v>0.27500000000000002</v>
      </c>
      <c r="U128" t="s">
        <v>79</v>
      </c>
      <c r="V128" t="s">
        <v>80</v>
      </c>
    </row>
    <row r="129" spans="1:22" x14ac:dyDescent="0.3">
      <c r="A129" t="s">
        <v>382</v>
      </c>
      <c r="B129" t="s">
        <v>50</v>
      </c>
      <c r="C129" t="s">
        <v>378</v>
      </c>
      <c r="D129" t="s">
        <v>383</v>
      </c>
      <c r="E129" s="3">
        <v>10.37998</v>
      </c>
      <c r="F129" s="3">
        <v>-1.7097899999999999</v>
      </c>
      <c r="G129" s="4">
        <v>263.7</v>
      </c>
      <c r="H129" s="4">
        <v>36.1</v>
      </c>
      <c r="I129" s="4">
        <v>21.1</v>
      </c>
      <c r="J129" s="4" t="s">
        <v>142</v>
      </c>
      <c r="K129" s="4" t="s">
        <v>143</v>
      </c>
      <c r="L129" s="4" t="s">
        <v>147</v>
      </c>
      <c r="M129" s="4" t="s">
        <v>78</v>
      </c>
      <c r="N129" s="4">
        <v>3.9</v>
      </c>
      <c r="O129" s="4">
        <v>6.3</v>
      </c>
      <c r="P129" s="4">
        <v>0.81</v>
      </c>
      <c r="Q129" s="4">
        <v>0.28899999999999998</v>
      </c>
      <c r="R129" s="4">
        <v>0.59099999999999997</v>
      </c>
      <c r="S129" s="4">
        <v>0.248</v>
      </c>
      <c r="T129">
        <v>0.82899999999999996</v>
      </c>
      <c r="U129" t="s">
        <v>104</v>
      </c>
      <c r="V129" t="s">
        <v>80</v>
      </c>
    </row>
    <row r="130" spans="1:22" x14ac:dyDescent="0.3">
      <c r="A130" t="s">
        <v>384</v>
      </c>
      <c r="B130" t="s">
        <v>50</v>
      </c>
      <c r="C130" t="s">
        <v>375</v>
      </c>
      <c r="D130" t="s">
        <v>385</v>
      </c>
      <c r="E130" s="3">
        <v>10.81823</v>
      </c>
      <c r="F130" s="3">
        <v>-2.1164299999999998</v>
      </c>
      <c r="G130" s="4">
        <v>249.3</v>
      </c>
      <c r="H130" s="4">
        <v>58.1</v>
      </c>
      <c r="I130" s="4">
        <v>15</v>
      </c>
      <c r="J130" s="4" t="s">
        <v>277</v>
      </c>
      <c r="K130" s="4" t="s">
        <v>278</v>
      </c>
      <c r="L130" s="4" t="s">
        <v>294</v>
      </c>
      <c r="M130" s="4" t="s">
        <v>78</v>
      </c>
      <c r="N130" s="4">
        <v>4.49</v>
      </c>
      <c r="O130" s="4">
        <v>1.38</v>
      </c>
      <c r="P130" s="4">
        <v>0.88</v>
      </c>
      <c r="Q130" s="4">
        <v>0.47399999999999998</v>
      </c>
      <c r="R130" s="4">
        <v>0.7</v>
      </c>
      <c r="S130" s="4">
        <v>0.49199999999999999</v>
      </c>
      <c r="T130">
        <v>0.52200000000000002</v>
      </c>
      <c r="U130" t="s">
        <v>79</v>
      </c>
      <c r="V130" t="s">
        <v>80</v>
      </c>
    </row>
    <row r="131" spans="1:22" x14ac:dyDescent="0.3">
      <c r="A131" t="s">
        <v>386</v>
      </c>
      <c r="B131" t="s">
        <v>50</v>
      </c>
      <c r="C131" t="s">
        <v>387</v>
      </c>
      <c r="D131" t="s">
        <v>388</v>
      </c>
      <c r="E131" s="3">
        <v>10.00638</v>
      </c>
      <c r="F131" s="3">
        <v>-2.0697899999999998</v>
      </c>
      <c r="G131" s="4">
        <v>226</v>
      </c>
      <c r="H131" s="4">
        <v>58.8</v>
      </c>
      <c r="I131" s="4">
        <v>25.3</v>
      </c>
      <c r="J131" s="4" t="s">
        <v>277</v>
      </c>
      <c r="K131" s="4" t="s">
        <v>278</v>
      </c>
      <c r="L131" s="4" t="s">
        <v>294</v>
      </c>
      <c r="M131" s="4" t="s">
        <v>91</v>
      </c>
      <c r="N131" s="4">
        <v>9.15</v>
      </c>
      <c r="O131" s="4">
        <v>0.24</v>
      </c>
      <c r="P131" s="4">
        <v>0.95</v>
      </c>
      <c r="Q131" s="4">
        <v>0.161</v>
      </c>
      <c r="R131" s="4">
        <v>0.74199999999999999</v>
      </c>
      <c r="S131" s="4">
        <v>0.49299999999999999</v>
      </c>
      <c r="T131">
        <v>0.64900000000000002</v>
      </c>
      <c r="U131" t="s">
        <v>104</v>
      </c>
      <c r="V131" t="s">
        <v>80</v>
      </c>
    </row>
    <row r="132" spans="1:22" x14ac:dyDescent="0.3">
      <c r="A132" t="s">
        <v>389</v>
      </c>
      <c r="B132" t="s">
        <v>50</v>
      </c>
      <c r="C132" t="s">
        <v>378</v>
      </c>
      <c r="D132" t="s">
        <v>390</v>
      </c>
      <c r="E132" s="3">
        <v>9.9979999999999993</v>
      </c>
      <c r="F132" s="3">
        <v>-2.7299199999999999</v>
      </c>
      <c r="G132" s="4">
        <v>271.39999999999998</v>
      </c>
      <c r="H132" s="4">
        <v>68.400000000000006</v>
      </c>
      <c r="I132" s="4">
        <v>10.199999999999999</v>
      </c>
      <c r="J132" s="4" t="s">
        <v>101</v>
      </c>
      <c r="K132" s="4" t="s">
        <v>102</v>
      </c>
      <c r="L132" s="4" t="s">
        <v>181</v>
      </c>
      <c r="M132" s="4" t="s">
        <v>91</v>
      </c>
      <c r="N132" s="4">
        <v>14.78</v>
      </c>
      <c r="O132" s="4">
        <v>0.37</v>
      </c>
      <c r="P132" s="4">
        <v>1.04</v>
      </c>
      <c r="Q132" s="4">
        <v>0.64200000000000002</v>
      </c>
      <c r="R132" s="4">
        <v>0.65400000000000003</v>
      </c>
      <c r="S132" s="4">
        <v>0.17799999999999999</v>
      </c>
      <c r="T132">
        <v>0.51</v>
      </c>
      <c r="U132" t="s">
        <v>79</v>
      </c>
      <c r="V132" t="s">
        <v>80</v>
      </c>
    </row>
    <row r="133" spans="1:22" x14ac:dyDescent="0.3">
      <c r="A133" t="s">
        <v>391</v>
      </c>
      <c r="B133" t="s">
        <v>50</v>
      </c>
      <c r="C133" t="s">
        <v>378</v>
      </c>
      <c r="D133" t="s">
        <v>392</v>
      </c>
      <c r="E133" s="3">
        <v>10.710140000000001</v>
      </c>
      <c r="F133" s="3">
        <v>-3.1711800000000001</v>
      </c>
      <c r="G133" s="4">
        <v>334.2</v>
      </c>
      <c r="H133" s="4">
        <v>33.6</v>
      </c>
      <c r="I133" s="4">
        <v>14.5</v>
      </c>
      <c r="J133" s="4" t="s">
        <v>142</v>
      </c>
      <c r="K133" s="4" t="s">
        <v>143</v>
      </c>
      <c r="L133" s="4" t="s">
        <v>147</v>
      </c>
      <c r="M133" s="4" t="s">
        <v>122</v>
      </c>
      <c r="N133" s="4">
        <v>4.93</v>
      </c>
      <c r="O133" s="4">
        <v>5.22</v>
      </c>
      <c r="P133" s="4">
        <v>0.05</v>
      </c>
      <c r="Q133" s="4">
        <v>0.33600000000000002</v>
      </c>
      <c r="R133" s="4">
        <v>0.81399999999999995</v>
      </c>
      <c r="S133" s="4">
        <v>0.377</v>
      </c>
      <c r="T133">
        <v>0.71699999999999997</v>
      </c>
      <c r="U133" t="s">
        <v>104</v>
      </c>
      <c r="V133" t="s">
        <v>80</v>
      </c>
    </row>
    <row r="134" spans="1:22" x14ac:dyDescent="0.3">
      <c r="A134" t="s">
        <v>393</v>
      </c>
      <c r="B134" t="s">
        <v>50</v>
      </c>
      <c r="C134" t="s">
        <v>394</v>
      </c>
      <c r="D134" t="s">
        <v>395</v>
      </c>
      <c r="E134" s="3">
        <v>10.43806</v>
      </c>
      <c r="F134" s="3">
        <v>-1.6168499999999999</v>
      </c>
      <c r="G134" s="4">
        <v>288.60000000000002</v>
      </c>
      <c r="H134" s="4">
        <v>90.5</v>
      </c>
      <c r="I134" s="4">
        <v>11.2</v>
      </c>
      <c r="J134" s="4" t="s">
        <v>142</v>
      </c>
      <c r="K134" s="4" t="s">
        <v>143</v>
      </c>
      <c r="L134" s="4" t="s">
        <v>147</v>
      </c>
      <c r="M134" s="4" t="s">
        <v>91</v>
      </c>
      <c r="N134" s="4">
        <v>3.04</v>
      </c>
      <c r="O134" s="4">
        <v>2.83</v>
      </c>
      <c r="P134" s="4">
        <v>7.62</v>
      </c>
      <c r="Q134" s="4">
        <v>0.48</v>
      </c>
      <c r="R134" s="4">
        <v>0.61799999999999999</v>
      </c>
      <c r="S134" s="4">
        <v>0.14899999999999999</v>
      </c>
      <c r="T134">
        <v>0.47599999999999998</v>
      </c>
      <c r="U134" t="s">
        <v>79</v>
      </c>
      <c r="V134" t="s">
        <v>80</v>
      </c>
    </row>
    <row r="135" spans="1:22" x14ac:dyDescent="0.3">
      <c r="A135" t="s">
        <v>396</v>
      </c>
      <c r="B135" t="s">
        <v>50</v>
      </c>
      <c r="C135" t="s">
        <v>397</v>
      </c>
      <c r="D135" t="s">
        <v>398</v>
      </c>
      <c r="E135" s="3">
        <v>10.064439999999999</v>
      </c>
      <c r="F135" s="3">
        <v>-2.1092399999999998</v>
      </c>
      <c r="G135" s="4">
        <v>258</v>
      </c>
      <c r="H135" s="4">
        <v>78.099999999999994</v>
      </c>
      <c r="I135" s="4">
        <v>8.6999999999999993</v>
      </c>
      <c r="J135" s="4" t="s">
        <v>75</v>
      </c>
      <c r="K135" s="4" t="s">
        <v>76</v>
      </c>
      <c r="L135" s="4" t="s">
        <v>94</v>
      </c>
      <c r="M135" s="4" t="s">
        <v>122</v>
      </c>
      <c r="N135" s="4">
        <v>1.51</v>
      </c>
      <c r="O135" s="4">
        <v>1.29</v>
      </c>
      <c r="P135" s="4">
        <v>1.83</v>
      </c>
      <c r="Q135" s="4">
        <v>0.748</v>
      </c>
      <c r="R135" s="4">
        <v>0.61499999999999999</v>
      </c>
      <c r="S135" s="4">
        <v>3.5000000000000003E-2</v>
      </c>
      <c r="T135">
        <v>0.17199999999999999</v>
      </c>
      <c r="U135" t="s">
        <v>79</v>
      </c>
      <c r="V135" t="s">
        <v>80</v>
      </c>
    </row>
    <row r="136" spans="1:22" x14ac:dyDescent="0.3">
      <c r="A136" t="s">
        <v>399</v>
      </c>
      <c r="B136" t="s">
        <v>50</v>
      </c>
      <c r="C136" t="s">
        <v>378</v>
      </c>
      <c r="D136" t="s">
        <v>400</v>
      </c>
      <c r="E136" s="3">
        <v>9.8689400000000003</v>
      </c>
      <c r="F136" s="3">
        <v>-1.8536300000000001</v>
      </c>
      <c r="G136" s="4">
        <v>221.5</v>
      </c>
      <c r="H136" s="4">
        <v>77.8</v>
      </c>
      <c r="I136" s="4">
        <v>13.8</v>
      </c>
      <c r="J136" s="4" t="s">
        <v>277</v>
      </c>
      <c r="K136" s="4" t="s">
        <v>278</v>
      </c>
      <c r="L136" s="4" t="s">
        <v>283</v>
      </c>
      <c r="M136" s="4" t="s">
        <v>91</v>
      </c>
      <c r="N136" s="4">
        <v>0.63</v>
      </c>
      <c r="O136" s="4">
        <v>0.23</v>
      </c>
      <c r="P136" s="4">
        <v>0.86</v>
      </c>
      <c r="Q136" s="4">
        <v>0.54100000000000004</v>
      </c>
      <c r="R136" s="4">
        <v>0.64</v>
      </c>
      <c r="S136" s="4">
        <v>0.377</v>
      </c>
      <c r="T136">
        <v>0.628</v>
      </c>
      <c r="U136" t="s">
        <v>104</v>
      </c>
      <c r="V136" t="s">
        <v>80</v>
      </c>
    </row>
    <row r="137" spans="1:22" x14ac:dyDescent="0.3">
      <c r="A137" t="s">
        <v>401</v>
      </c>
      <c r="B137" t="s">
        <v>50</v>
      </c>
      <c r="C137" t="s">
        <v>387</v>
      </c>
      <c r="D137" t="s">
        <v>402</v>
      </c>
      <c r="E137" s="3">
        <v>10.685129999999999</v>
      </c>
      <c r="F137" s="3">
        <v>-2.69577</v>
      </c>
      <c r="G137" s="4">
        <v>289</v>
      </c>
      <c r="H137" s="4">
        <v>40.700000000000003</v>
      </c>
      <c r="I137" s="4">
        <v>26.6</v>
      </c>
      <c r="J137" s="4" t="s">
        <v>101</v>
      </c>
      <c r="K137" s="4" t="s">
        <v>102</v>
      </c>
      <c r="L137" s="4" t="s">
        <v>181</v>
      </c>
      <c r="M137" s="4" t="s">
        <v>91</v>
      </c>
      <c r="N137" s="4">
        <v>3.64</v>
      </c>
      <c r="O137" s="4">
        <v>1.44</v>
      </c>
      <c r="P137" s="4">
        <v>6.69</v>
      </c>
      <c r="Q137" s="4">
        <v>0.18099999999999999</v>
      </c>
      <c r="R137" s="4">
        <v>0.69899999999999995</v>
      </c>
      <c r="S137" s="4">
        <v>0.14299999999999999</v>
      </c>
      <c r="T137">
        <v>0.249</v>
      </c>
      <c r="U137" t="s">
        <v>79</v>
      </c>
      <c r="V137" t="s">
        <v>80</v>
      </c>
    </row>
    <row r="138" spans="1:22" x14ac:dyDescent="0.3">
      <c r="A138" t="s">
        <v>403</v>
      </c>
      <c r="B138" t="s">
        <v>50</v>
      </c>
      <c r="C138" t="s">
        <v>387</v>
      </c>
      <c r="D138" t="s">
        <v>404</v>
      </c>
      <c r="E138" s="3">
        <v>10.87635</v>
      </c>
      <c r="F138" s="3">
        <v>-1.6638599999999999</v>
      </c>
      <c r="G138" s="4">
        <v>272.89999999999998</v>
      </c>
      <c r="H138" s="4">
        <v>60.5</v>
      </c>
      <c r="I138" s="4">
        <v>13.8</v>
      </c>
      <c r="J138" s="4" t="s">
        <v>75</v>
      </c>
      <c r="K138" s="4" t="s">
        <v>76</v>
      </c>
      <c r="L138" s="4" t="s">
        <v>94</v>
      </c>
      <c r="M138" s="4" t="s">
        <v>85</v>
      </c>
      <c r="N138" s="4">
        <v>14.27</v>
      </c>
      <c r="O138" s="4">
        <v>0.93</v>
      </c>
      <c r="P138" s="4">
        <v>1.17</v>
      </c>
      <c r="Q138" s="4">
        <v>0.25</v>
      </c>
      <c r="R138" s="4">
        <v>0.68700000000000006</v>
      </c>
      <c r="S138" s="4">
        <v>7.4999999999999997E-2</v>
      </c>
      <c r="T138">
        <v>0.309</v>
      </c>
      <c r="U138" t="s">
        <v>79</v>
      </c>
      <c r="V138" t="s">
        <v>80</v>
      </c>
    </row>
    <row r="139" spans="1:22" x14ac:dyDescent="0.3">
      <c r="A139" t="s">
        <v>405</v>
      </c>
      <c r="B139" t="s">
        <v>50</v>
      </c>
      <c r="C139" t="s">
        <v>406</v>
      </c>
      <c r="D139" t="s">
        <v>407</v>
      </c>
      <c r="E139" s="3">
        <v>10.75248</v>
      </c>
      <c r="F139" s="3">
        <v>-2.3543400000000001</v>
      </c>
      <c r="G139" s="4">
        <v>249.4</v>
      </c>
      <c r="H139" s="4">
        <v>57</v>
      </c>
      <c r="I139" s="4">
        <v>22</v>
      </c>
      <c r="J139" s="4" t="s">
        <v>142</v>
      </c>
      <c r="K139" s="4" t="s">
        <v>143</v>
      </c>
      <c r="L139" s="4" t="s">
        <v>185</v>
      </c>
      <c r="M139" s="4" t="s">
        <v>85</v>
      </c>
      <c r="N139" s="4">
        <v>1.17</v>
      </c>
      <c r="O139" s="4">
        <v>5.17</v>
      </c>
      <c r="P139" s="4">
        <v>2.36</v>
      </c>
      <c r="Q139" s="4">
        <v>0.41599999999999998</v>
      </c>
      <c r="R139" s="4">
        <v>0.77300000000000002</v>
      </c>
      <c r="S139" s="4">
        <v>4.9000000000000002E-2</v>
      </c>
      <c r="T139">
        <v>5.2999999999999999E-2</v>
      </c>
      <c r="U139" t="s">
        <v>273</v>
      </c>
      <c r="V139" t="s">
        <v>80</v>
      </c>
    </row>
    <row r="140" spans="1:22" x14ac:dyDescent="0.3">
      <c r="A140" t="s">
        <v>408</v>
      </c>
      <c r="B140" t="s">
        <v>50</v>
      </c>
      <c r="C140" t="s">
        <v>406</v>
      </c>
      <c r="D140" t="s">
        <v>409</v>
      </c>
      <c r="E140" s="3">
        <v>10.31062</v>
      </c>
      <c r="F140" s="3">
        <v>-2.9745699999999999</v>
      </c>
      <c r="G140" s="4">
        <v>263</v>
      </c>
      <c r="H140" s="4">
        <v>72.3</v>
      </c>
      <c r="I140" s="4">
        <v>17.5</v>
      </c>
      <c r="J140" s="4" t="s">
        <v>277</v>
      </c>
      <c r="K140" s="4" t="s">
        <v>278</v>
      </c>
      <c r="L140" s="4" t="s">
        <v>283</v>
      </c>
      <c r="M140" s="4" t="s">
        <v>122</v>
      </c>
      <c r="N140" s="4">
        <v>1.73</v>
      </c>
      <c r="O140" s="4">
        <v>0.44</v>
      </c>
      <c r="P140" s="4">
        <v>3.35</v>
      </c>
      <c r="Q140" s="4">
        <v>0.41</v>
      </c>
      <c r="R140" s="4">
        <v>0.55900000000000005</v>
      </c>
      <c r="S140" s="4">
        <v>0.30099999999999999</v>
      </c>
      <c r="T140">
        <v>0.55000000000000004</v>
      </c>
      <c r="U140" t="s">
        <v>79</v>
      </c>
      <c r="V140" t="s">
        <v>80</v>
      </c>
    </row>
    <row r="141" spans="1:22" x14ac:dyDescent="0.3">
      <c r="A141" t="s">
        <v>410</v>
      </c>
      <c r="B141" t="s">
        <v>50</v>
      </c>
      <c r="C141" t="s">
        <v>378</v>
      </c>
      <c r="D141" t="s">
        <v>411</v>
      </c>
      <c r="E141" s="3">
        <v>10.014720000000001</v>
      </c>
      <c r="F141" s="3">
        <v>-1.6620900000000001</v>
      </c>
      <c r="G141" s="4">
        <v>249.6</v>
      </c>
      <c r="H141" s="4">
        <v>51.8</v>
      </c>
      <c r="I141" s="4">
        <v>9.4</v>
      </c>
      <c r="J141" s="4" t="s">
        <v>101</v>
      </c>
      <c r="K141" s="4" t="s">
        <v>102</v>
      </c>
      <c r="L141" s="4" t="s">
        <v>116</v>
      </c>
      <c r="M141" s="4" t="s">
        <v>122</v>
      </c>
      <c r="N141" s="4">
        <v>22.32</v>
      </c>
      <c r="O141" s="4">
        <v>3.83</v>
      </c>
      <c r="P141" s="4">
        <v>1.55</v>
      </c>
      <c r="Q141" s="4">
        <v>9.2999999999999999E-2</v>
      </c>
      <c r="R141" s="4">
        <v>0.69399999999999995</v>
      </c>
      <c r="S141" s="4">
        <v>0.22</v>
      </c>
      <c r="T141">
        <v>0.51300000000000001</v>
      </c>
      <c r="U141" t="s">
        <v>79</v>
      </c>
      <c r="V141" t="s">
        <v>80</v>
      </c>
    </row>
    <row r="142" spans="1:22" x14ac:dyDescent="0.3">
      <c r="A142" t="s">
        <v>412</v>
      </c>
      <c r="B142" t="s">
        <v>50</v>
      </c>
      <c r="C142" t="s">
        <v>366</v>
      </c>
      <c r="D142" t="s">
        <v>413</v>
      </c>
      <c r="E142" s="3">
        <v>10.24826</v>
      </c>
      <c r="F142" s="3">
        <v>-3.1051799999999998</v>
      </c>
      <c r="G142" s="4">
        <v>282.60000000000002</v>
      </c>
      <c r="H142" s="4">
        <v>20</v>
      </c>
      <c r="I142" s="4">
        <v>12.9</v>
      </c>
      <c r="J142" s="4" t="s">
        <v>101</v>
      </c>
      <c r="K142" s="4" t="s">
        <v>102</v>
      </c>
      <c r="L142" s="4" t="s">
        <v>116</v>
      </c>
      <c r="M142" s="4" t="s">
        <v>85</v>
      </c>
      <c r="N142" s="4">
        <v>0.69</v>
      </c>
      <c r="O142" s="4">
        <v>1.03</v>
      </c>
      <c r="P142" s="4">
        <v>0.15</v>
      </c>
      <c r="Q142" s="4">
        <v>0.46899999999999997</v>
      </c>
      <c r="R142" s="4">
        <v>0.70099999999999996</v>
      </c>
      <c r="S142" s="4">
        <v>0.221</v>
      </c>
      <c r="T142">
        <v>0.32500000000000001</v>
      </c>
      <c r="U142" t="s">
        <v>79</v>
      </c>
      <c r="V142" t="s">
        <v>80</v>
      </c>
    </row>
    <row r="143" spans="1:22" x14ac:dyDescent="0.3">
      <c r="A143" t="s">
        <v>414</v>
      </c>
      <c r="B143" t="s">
        <v>50</v>
      </c>
      <c r="C143" t="s">
        <v>394</v>
      </c>
      <c r="D143" t="s">
        <v>415</v>
      </c>
      <c r="E143" s="3">
        <v>9.9014399999999991</v>
      </c>
      <c r="F143" s="3">
        <v>-1.61843</v>
      </c>
      <c r="G143" s="4">
        <v>207.4</v>
      </c>
      <c r="H143" s="4">
        <v>53.4</v>
      </c>
      <c r="I143" s="4">
        <v>22.5</v>
      </c>
      <c r="J143" s="4" t="s">
        <v>75</v>
      </c>
      <c r="K143" s="4" t="s">
        <v>76</v>
      </c>
      <c r="L143" s="4" t="s">
        <v>77</v>
      </c>
      <c r="M143" s="4" t="s">
        <v>91</v>
      </c>
      <c r="N143" s="4">
        <v>7.54</v>
      </c>
      <c r="O143" s="4">
        <v>0.23</v>
      </c>
      <c r="P143" s="4">
        <v>0.48</v>
      </c>
      <c r="Q143" s="4">
        <v>0.20300000000000001</v>
      </c>
      <c r="R143" s="4">
        <v>0.60599999999999998</v>
      </c>
      <c r="S143" s="4">
        <v>0.14399999999999999</v>
      </c>
      <c r="T143">
        <v>0.627</v>
      </c>
      <c r="U143" t="s">
        <v>104</v>
      </c>
      <c r="V143" t="s">
        <v>80</v>
      </c>
    </row>
    <row r="144" spans="1:22" x14ac:dyDescent="0.3">
      <c r="A144" t="s">
        <v>416</v>
      </c>
      <c r="B144" t="s">
        <v>50</v>
      </c>
      <c r="C144" t="s">
        <v>378</v>
      </c>
      <c r="D144" t="s">
        <v>417</v>
      </c>
      <c r="E144" s="3">
        <v>11.057370000000001</v>
      </c>
      <c r="F144" s="3">
        <v>-1.66015</v>
      </c>
      <c r="G144" s="4">
        <v>288.8</v>
      </c>
      <c r="H144" s="4">
        <v>60.8</v>
      </c>
      <c r="I144" s="4">
        <v>13.8</v>
      </c>
      <c r="J144" s="4" t="s">
        <v>101</v>
      </c>
      <c r="K144" s="4" t="s">
        <v>102</v>
      </c>
      <c r="L144" s="4" t="s">
        <v>181</v>
      </c>
      <c r="M144" s="4" t="s">
        <v>122</v>
      </c>
      <c r="N144" s="4">
        <v>3.82</v>
      </c>
      <c r="O144" s="4">
        <v>0.77</v>
      </c>
      <c r="P144" s="4">
        <v>5.7</v>
      </c>
      <c r="Q144" s="4">
        <v>0.34100000000000003</v>
      </c>
      <c r="R144" s="4">
        <v>0.77100000000000002</v>
      </c>
      <c r="S144" s="4">
        <v>0.32200000000000001</v>
      </c>
      <c r="T144">
        <v>0.42199999999999999</v>
      </c>
      <c r="U144" t="s">
        <v>273</v>
      </c>
      <c r="V144" t="s">
        <v>80</v>
      </c>
    </row>
    <row r="145" spans="1:22" x14ac:dyDescent="0.3">
      <c r="A145" t="s">
        <v>418</v>
      </c>
      <c r="B145" t="s">
        <v>50</v>
      </c>
      <c r="C145" t="s">
        <v>378</v>
      </c>
      <c r="D145" t="s">
        <v>419</v>
      </c>
      <c r="E145" s="3">
        <v>10.56528</v>
      </c>
      <c r="F145" s="3">
        <v>-1.5920099999999999</v>
      </c>
      <c r="G145" s="4">
        <v>269</v>
      </c>
      <c r="H145" s="4">
        <v>57.5</v>
      </c>
      <c r="I145" s="4">
        <v>9.9</v>
      </c>
      <c r="J145" s="4" t="s">
        <v>277</v>
      </c>
      <c r="K145" s="4" t="s">
        <v>278</v>
      </c>
      <c r="L145" s="4" t="s">
        <v>279</v>
      </c>
      <c r="M145" s="4" t="s">
        <v>95</v>
      </c>
      <c r="N145" s="4">
        <v>1.3</v>
      </c>
      <c r="O145" s="4">
        <v>0.34</v>
      </c>
      <c r="P145" s="4">
        <v>1.17</v>
      </c>
      <c r="Q145" s="4">
        <v>0.39600000000000002</v>
      </c>
      <c r="R145" s="4">
        <v>0.753</v>
      </c>
      <c r="S145" s="4">
        <v>0.53200000000000003</v>
      </c>
      <c r="T145">
        <v>0.44</v>
      </c>
      <c r="U145" t="s">
        <v>273</v>
      </c>
      <c r="V145" t="s">
        <v>80</v>
      </c>
    </row>
    <row r="146" spans="1:22" x14ac:dyDescent="0.3">
      <c r="A146" t="s">
        <v>420</v>
      </c>
      <c r="B146" t="s">
        <v>50</v>
      </c>
      <c r="C146" t="s">
        <v>406</v>
      </c>
      <c r="D146" t="s">
        <v>421</v>
      </c>
      <c r="E146" s="3">
        <v>10.511710000000001</v>
      </c>
      <c r="F146" s="3">
        <v>-2.7826499999999998</v>
      </c>
      <c r="G146" s="4">
        <v>255.4</v>
      </c>
      <c r="H146" s="4">
        <v>37.1</v>
      </c>
      <c r="I146" s="4">
        <v>12.3</v>
      </c>
      <c r="J146" s="4" t="s">
        <v>75</v>
      </c>
      <c r="K146" s="4" t="s">
        <v>76</v>
      </c>
      <c r="L146" s="4" t="s">
        <v>77</v>
      </c>
      <c r="M146" s="4" t="s">
        <v>91</v>
      </c>
      <c r="N146" s="4">
        <v>8.65</v>
      </c>
      <c r="O146" s="4">
        <v>1.1499999999999999</v>
      </c>
      <c r="P146" s="4">
        <v>3.7</v>
      </c>
      <c r="Q146" s="4">
        <v>0.33800000000000002</v>
      </c>
      <c r="R146" s="4">
        <v>0.77300000000000002</v>
      </c>
      <c r="S146" s="4">
        <v>0.02</v>
      </c>
      <c r="T146">
        <v>0.436</v>
      </c>
      <c r="U146" t="s">
        <v>273</v>
      </c>
      <c r="V146" t="s">
        <v>80</v>
      </c>
    </row>
    <row r="147" spans="1:22" x14ac:dyDescent="0.3">
      <c r="A147" t="s">
        <v>422</v>
      </c>
      <c r="B147" t="s">
        <v>50</v>
      </c>
      <c r="C147" t="s">
        <v>406</v>
      </c>
      <c r="D147" t="s">
        <v>423</v>
      </c>
      <c r="E147" s="3">
        <v>10.039870000000001</v>
      </c>
      <c r="F147" s="3">
        <v>-1.60022</v>
      </c>
      <c r="G147" s="4">
        <v>277.89999999999998</v>
      </c>
      <c r="H147" s="4">
        <v>69.7</v>
      </c>
      <c r="I147" s="4">
        <v>16</v>
      </c>
      <c r="J147" s="4" t="s">
        <v>101</v>
      </c>
      <c r="K147" s="4" t="s">
        <v>102</v>
      </c>
      <c r="L147" s="4" t="s">
        <v>103</v>
      </c>
      <c r="M147" s="4" t="s">
        <v>85</v>
      </c>
      <c r="N147" s="4">
        <v>8.6199999999999992</v>
      </c>
      <c r="O147" s="4">
        <v>0.37</v>
      </c>
      <c r="P147" s="4">
        <v>0.05</v>
      </c>
      <c r="Q147" s="4">
        <v>0.30599999999999999</v>
      </c>
      <c r="R147" s="4">
        <v>0.65</v>
      </c>
      <c r="S147" s="4">
        <v>0.307</v>
      </c>
      <c r="T147">
        <v>0.58099999999999996</v>
      </c>
      <c r="U147" t="s">
        <v>79</v>
      </c>
      <c r="V147" t="s">
        <v>80</v>
      </c>
    </row>
    <row r="148" spans="1:22" x14ac:dyDescent="0.3">
      <c r="A148" t="s">
        <v>424</v>
      </c>
      <c r="B148" t="s">
        <v>50</v>
      </c>
      <c r="C148" t="s">
        <v>366</v>
      </c>
      <c r="D148" t="s">
        <v>425</v>
      </c>
      <c r="E148" s="3">
        <v>11.0237</v>
      </c>
      <c r="F148" s="3">
        <v>-2.57104</v>
      </c>
      <c r="G148" s="4">
        <v>307.39999999999998</v>
      </c>
      <c r="H148" s="4">
        <v>60.3</v>
      </c>
      <c r="I148" s="4">
        <v>34.6</v>
      </c>
      <c r="J148" s="4" t="s">
        <v>75</v>
      </c>
      <c r="K148" s="4" t="s">
        <v>76</v>
      </c>
      <c r="L148" s="4" t="s">
        <v>84</v>
      </c>
      <c r="M148" s="4" t="s">
        <v>91</v>
      </c>
      <c r="N148" s="4">
        <v>16.03</v>
      </c>
      <c r="O148" s="4">
        <v>0.28000000000000003</v>
      </c>
      <c r="P148" s="4">
        <v>1.25</v>
      </c>
      <c r="Q148" s="4">
        <v>0.05</v>
      </c>
      <c r="R148" s="4">
        <v>0.623</v>
      </c>
      <c r="S148" s="4">
        <v>0.13400000000000001</v>
      </c>
      <c r="T148">
        <v>0.47599999999999998</v>
      </c>
      <c r="U148" t="s">
        <v>79</v>
      </c>
      <c r="V148" t="s">
        <v>80</v>
      </c>
    </row>
    <row r="149" spans="1:22" x14ac:dyDescent="0.3">
      <c r="A149" t="s">
        <v>426</v>
      </c>
      <c r="B149" t="s">
        <v>50</v>
      </c>
      <c r="C149" t="s">
        <v>394</v>
      </c>
      <c r="D149" t="s">
        <v>427</v>
      </c>
      <c r="E149" s="3">
        <v>10.931950000000001</v>
      </c>
      <c r="F149" s="3">
        <v>-1.45285</v>
      </c>
      <c r="G149" s="4">
        <v>270.10000000000002</v>
      </c>
      <c r="H149" s="4">
        <v>20</v>
      </c>
      <c r="I149" s="4">
        <v>12.1</v>
      </c>
      <c r="J149" s="4" t="s">
        <v>277</v>
      </c>
      <c r="K149" s="4" t="s">
        <v>278</v>
      </c>
      <c r="L149" s="4" t="s">
        <v>283</v>
      </c>
      <c r="M149" s="4" t="s">
        <v>95</v>
      </c>
      <c r="N149" s="4">
        <v>2.74</v>
      </c>
      <c r="O149" s="4">
        <v>1.31</v>
      </c>
      <c r="P149" s="4">
        <v>0.7</v>
      </c>
      <c r="Q149" s="4">
        <v>0.48099999999999998</v>
      </c>
      <c r="R149" s="4">
        <v>0.65300000000000002</v>
      </c>
      <c r="S149" s="4">
        <v>0.41899999999999998</v>
      </c>
      <c r="T149">
        <v>0.57999999999999996</v>
      </c>
      <c r="U149" t="s">
        <v>79</v>
      </c>
      <c r="V149" t="s">
        <v>80</v>
      </c>
    </row>
    <row r="150" spans="1:22" x14ac:dyDescent="0.3">
      <c r="A150" t="s">
        <v>428</v>
      </c>
      <c r="B150" t="s">
        <v>50</v>
      </c>
      <c r="C150" t="s">
        <v>406</v>
      </c>
      <c r="D150" t="s">
        <v>429</v>
      </c>
      <c r="E150" s="3">
        <v>10.818619999999999</v>
      </c>
      <c r="F150" s="3">
        <v>-1.9565999999999999</v>
      </c>
      <c r="G150" s="4">
        <v>229.6</v>
      </c>
      <c r="H150" s="4">
        <v>20</v>
      </c>
      <c r="I150" s="4">
        <v>9.6999999999999993</v>
      </c>
      <c r="J150" s="4" t="s">
        <v>101</v>
      </c>
      <c r="K150" s="4" t="s">
        <v>102</v>
      </c>
      <c r="L150" s="4" t="s">
        <v>181</v>
      </c>
      <c r="M150" s="4" t="s">
        <v>95</v>
      </c>
      <c r="N150" s="4">
        <v>23.42</v>
      </c>
      <c r="O150" s="4">
        <v>1.25</v>
      </c>
      <c r="P150" s="4">
        <v>0.28999999999999998</v>
      </c>
      <c r="Q150" s="4">
        <v>0.307</v>
      </c>
      <c r="R150" s="4">
        <v>0.63800000000000001</v>
      </c>
      <c r="S150" s="4">
        <v>0.42699999999999999</v>
      </c>
      <c r="T150">
        <v>0.501</v>
      </c>
      <c r="U150" t="s">
        <v>79</v>
      </c>
      <c r="V150" t="s">
        <v>80</v>
      </c>
    </row>
    <row r="151" spans="1:22" x14ac:dyDescent="0.3">
      <c r="A151" t="s">
        <v>430</v>
      </c>
      <c r="B151" t="s">
        <v>50</v>
      </c>
      <c r="C151" t="s">
        <v>387</v>
      </c>
      <c r="D151" t="s">
        <v>431</v>
      </c>
      <c r="E151" s="3">
        <v>10.06381</v>
      </c>
      <c r="F151" s="3">
        <v>-2.72363</v>
      </c>
      <c r="G151" s="4">
        <v>235.8</v>
      </c>
      <c r="H151" s="4">
        <v>65.3</v>
      </c>
      <c r="I151" s="4">
        <v>10.4</v>
      </c>
      <c r="J151" s="4" t="s">
        <v>142</v>
      </c>
      <c r="K151" s="4" t="s">
        <v>143</v>
      </c>
      <c r="L151" s="4" t="s">
        <v>147</v>
      </c>
      <c r="M151" s="4" t="s">
        <v>85</v>
      </c>
      <c r="N151" s="4">
        <v>1</v>
      </c>
      <c r="O151" s="4">
        <v>0.45</v>
      </c>
      <c r="P151" s="4">
        <v>4.33</v>
      </c>
      <c r="Q151" s="4">
        <v>0.49</v>
      </c>
      <c r="R151" s="4">
        <v>0.65700000000000003</v>
      </c>
      <c r="S151" s="4">
        <v>0.13600000000000001</v>
      </c>
      <c r="T151">
        <v>0.33900000000000002</v>
      </c>
      <c r="U151" t="s">
        <v>79</v>
      </c>
      <c r="V151" t="s">
        <v>80</v>
      </c>
    </row>
    <row r="152" spans="1:22" x14ac:dyDescent="0.3">
      <c r="A152" t="s">
        <v>432</v>
      </c>
      <c r="B152" t="s">
        <v>50</v>
      </c>
      <c r="C152" t="s">
        <v>366</v>
      </c>
      <c r="D152" t="s">
        <v>433</v>
      </c>
      <c r="E152" s="3">
        <v>10.674530000000001</v>
      </c>
      <c r="F152" s="3">
        <v>-2.3525399999999999</v>
      </c>
      <c r="G152" s="4">
        <v>279</v>
      </c>
      <c r="H152" s="4">
        <v>61</v>
      </c>
      <c r="I152" s="4">
        <v>21.2</v>
      </c>
      <c r="J152" s="4" t="s">
        <v>142</v>
      </c>
      <c r="K152" s="4" t="s">
        <v>143</v>
      </c>
      <c r="L152" s="4" t="s">
        <v>147</v>
      </c>
      <c r="M152" s="4" t="s">
        <v>85</v>
      </c>
      <c r="N152" s="4">
        <v>18.63</v>
      </c>
      <c r="O152" s="4">
        <v>0.05</v>
      </c>
      <c r="P152" s="4">
        <v>4.3899999999999997</v>
      </c>
      <c r="Q152" s="4">
        <v>7.5999999999999998E-2</v>
      </c>
      <c r="R152" s="4">
        <v>0.79500000000000004</v>
      </c>
      <c r="S152" s="4">
        <v>0.3</v>
      </c>
      <c r="T152">
        <v>9.1999999999999998E-2</v>
      </c>
      <c r="U152" t="s">
        <v>273</v>
      </c>
      <c r="V152" t="s">
        <v>80</v>
      </c>
    </row>
    <row r="153" spans="1:22" x14ac:dyDescent="0.3">
      <c r="A153" t="s">
        <v>434</v>
      </c>
      <c r="B153" t="s">
        <v>50</v>
      </c>
      <c r="C153" t="s">
        <v>387</v>
      </c>
      <c r="D153" t="s">
        <v>388</v>
      </c>
      <c r="E153" s="3">
        <v>10.779159999999999</v>
      </c>
      <c r="F153" s="3">
        <v>-2.7138200000000001</v>
      </c>
      <c r="G153" s="4">
        <v>308.2</v>
      </c>
      <c r="H153" s="4">
        <v>64.8</v>
      </c>
      <c r="I153" s="4">
        <v>12.5</v>
      </c>
      <c r="J153" s="4" t="s">
        <v>75</v>
      </c>
      <c r="K153" s="4" t="s">
        <v>76</v>
      </c>
      <c r="L153" s="4" t="s">
        <v>77</v>
      </c>
      <c r="M153" s="4" t="s">
        <v>91</v>
      </c>
      <c r="N153" s="4">
        <v>21.02</v>
      </c>
      <c r="O153" s="4">
        <v>1.91</v>
      </c>
      <c r="P153" s="4">
        <v>1.1399999999999999</v>
      </c>
      <c r="Q153" s="4">
        <v>0.18</v>
      </c>
      <c r="R153" s="4">
        <v>0.57699999999999996</v>
      </c>
      <c r="S153" s="4">
        <v>0.183</v>
      </c>
      <c r="T153">
        <v>0.30499999999999999</v>
      </c>
      <c r="U153" t="s">
        <v>79</v>
      </c>
      <c r="V153" t="s">
        <v>80</v>
      </c>
    </row>
    <row r="154" spans="1:22" x14ac:dyDescent="0.3">
      <c r="A154" t="s">
        <v>435</v>
      </c>
      <c r="B154" t="s">
        <v>50</v>
      </c>
      <c r="C154" t="s">
        <v>387</v>
      </c>
      <c r="D154" t="s">
        <v>436</v>
      </c>
      <c r="E154" s="3">
        <v>10.79603</v>
      </c>
      <c r="F154" s="3">
        <v>-1.5509599999999999</v>
      </c>
      <c r="G154" s="4">
        <v>268.2</v>
      </c>
      <c r="H154" s="4">
        <v>28.2</v>
      </c>
      <c r="I154" s="4">
        <v>17</v>
      </c>
      <c r="J154" s="4" t="s">
        <v>142</v>
      </c>
      <c r="K154" s="4" t="s">
        <v>143</v>
      </c>
      <c r="L154" s="4" t="s">
        <v>144</v>
      </c>
      <c r="M154" s="4" t="s">
        <v>122</v>
      </c>
      <c r="N154" s="4">
        <v>14.93</v>
      </c>
      <c r="O154" s="4">
        <v>2.0499999999999998</v>
      </c>
      <c r="P154" s="4">
        <v>2.92</v>
      </c>
      <c r="Q154" s="4">
        <v>0.25</v>
      </c>
      <c r="R154" s="4">
        <v>0.71899999999999997</v>
      </c>
      <c r="S154" s="4">
        <v>0.08</v>
      </c>
      <c r="T154">
        <v>0.48</v>
      </c>
      <c r="U154" t="s">
        <v>79</v>
      </c>
      <c r="V154" t="s">
        <v>80</v>
      </c>
    </row>
    <row r="155" spans="1:22" x14ac:dyDescent="0.3">
      <c r="A155" t="s">
        <v>437</v>
      </c>
      <c r="B155" t="s">
        <v>50</v>
      </c>
      <c r="C155" t="s">
        <v>406</v>
      </c>
      <c r="D155" t="s">
        <v>438</v>
      </c>
      <c r="E155" s="3">
        <v>10.420999999999999</v>
      </c>
      <c r="F155" s="3">
        <v>-1.70082</v>
      </c>
      <c r="G155" s="4">
        <v>291.39999999999998</v>
      </c>
      <c r="H155" s="4">
        <v>67</v>
      </c>
      <c r="I155" s="4">
        <v>16.3</v>
      </c>
      <c r="J155" s="4" t="s">
        <v>277</v>
      </c>
      <c r="K155" s="4" t="s">
        <v>278</v>
      </c>
      <c r="L155" s="4" t="s">
        <v>283</v>
      </c>
      <c r="M155" s="4" t="s">
        <v>122</v>
      </c>
      <c r="N155" s="4">
        <v>11.85</v>
      </c>
      <c r="O155" s="4">
        <v>1.68</v>
      </c>
      <c r="P155" s="4">
        <v>2.35</v>
      </c>
      <c r="Q155" s="4">
        <v>0.26900000000000002</v>
      </c>
      <c r="R155" s="4">
        <v>0.752</v>
      </c>
      <c r="S155" s="4">
        <v>0.39400000000000002</v>
      </c>
      <c r="T155">
        <v>0.33800000000000002</v>
      </c>
      <c r="U155" t="s">
        <v>273</v>
      </c>
      <c r="V155" t="s">
        <v>80</v>
      </c>
    </row>
    <row r="156" spans="1:22" x14ac:dyDescent="0.3">
      <c r="A156" t="s">
        <v>439</v>
      </c>
      <c r="B156" t="s">
        <v>50</v>
      </c>
      <c r="C156" t="s">
        <v>375</v>
      </c>
      <c r="D156" t="s">
        <v>440</v>
      </c>
      <c r="E156" s="3">
        <v>9.9566400000000002</v>
      </c>
      <c r="F156" s="3">
        <v>-1.7496499999999999</v>
      </c>
      <c r="G156" s="4">
        <v>216.4</v>
      </c>
      <c r="H156" s="4">
        <v>31.6</v>
      </c>
      <c r="I156" s="4">
        <v>18.7</v>
      </c>
      <c r="J156" s="4" t="s">
        <v>277</v>
      </c>
      <c r="K156" s="4" t="s">
        <v>278</v>
      </c>
      <c r="L156" s="4" t="s">
        <v>283</v>
      </c>
      <c r="M156" s="4" t="s">
        <v>78</v>
      </c>
      <c r="N156" s="4">
        <v>4.9000000000000004</v>
      </c>
      <c r="O156" s="4">
        <v>2.2400000000000002</v>
      </c>
      <c r="P156" s="4">
        <v>2.48</v>
      </c>
      <c r="Q156" s="4">
        <v>0.38800000000000001</v>
      </c>
      <c r="R156" s="4">
        <v>0.70399999999999996</v>
      </c>
      <c r="S156" s="4">
        <v>0.496</v>
      </c>
      <c r="T156">
        <v>0.57599999999999996</v>
      </c>
      <c r="U156" t="s">
        <v>79</v>
      </c>
      <c r="V156" t="s">
        <v>80</v>
      </c>
    </row>
    <row r="157" spans="1:22" x14ac:dyDescent="0.3">
      <c r="A157" t="s">
        <v>441</v>
      </c>
      <c r="B157" t="s">
        <v>50</v>
      </c>
      <c r="C157" t="s">
        <v>442</v>
      </c>
      <c r="D157" t="s">
        <v>443</v>
      </c>
      <c r="E157" s="3">
        <v>9.7421500000000005</v>
      </c>
      <c r="F157" s="3">
        <v>-2.0157799999999999</v>
      </c>
      <c r="G157" s="4">
        <v>270.39999999999998</v>
      </c>
      <c r="H157" s="4">
        <v>53.2</v>
      </c>
      <c r="I157" s="4">
        <v>10.7</v>
      </c>
      <c r="J157" s="4" t="s">
        <v>277</v>
      </c>
      <c r="K157" s="4" t="s">
        <v>278</v>
      </c>
      <c r="L157" s="4" t="s">
        <v>279</v>
      </c>
      <c r="M157" s="4" t="s">
        <v>95</v>
      </c>
      <c r="N157" s="4">
        <v>1.21</v>
      </c>
      <c r="O157" s="4">
        <v>3.68</v>
      </c>
      <c r="P157" s="4">
        <v>8.2100000000000009</v>
      </c>
      <c r="Q157" s="4">
        <v>0.44900000000000001</v>
      </c>
      <c r="R157" s="4">
        <v>0.61099999999999999</v>
      </c>
      <c r="S157" s="4">
        <v>0.58499999999999996</v>
      </c>
      <c r="T157">
        <v>0.33300000000000002</v>
      </c>
      <c r="U157" t="s">
        <v>79</v>
      </c>
      <c r="V157" t="s">
        <v>80</v>
      </c>
    </row>
    <row r="158" spans="1:22" x14ac:dyDescent="0.3">
      <c r="A158" t="s">
        <v>444</v>
      </c>
      <c r="B158" t="s">
        <v>50</v>
      </c>
      <c r="C158" t="s">
        <v>375</v>
      </c>
      <c r="D158" t="s">
        <v>445</v>
      </c>
      <c r="E158" s="3">
        <v>9.8663900000000009</v>
      </c>
      <c r="F158" s="3">
        <v>-3.1720000000000002</v>
      </c>
      <c r="G158" s="4">
        <v>244.3</v>
      </c>
      <c r="H158" s="4">
        <v>30.6</v>
      </c>
      <c r="I158" s="4">
        <v>24.1</v>
      </c>
      <c r="J158" s="4" t="s">
        <v>142</v>
      </c>
      <c r="K158" s="4" t="s">
        <v>143</v>
      </c>
      <c r="L158" s="4" t="s">
        <v>185</v>
      </c>
      <c r="M158" s="4" t="s">
        <v>122</v>
      </c>
      <c r="N158" s="4">
        <v>18.68</v>
      </c>
      <c r="O158" s="4">
        <v>0.42</v>
      </c>
      <c r="P158" s="4">
        <v>3.93</v>
      </c>
      <c r="Q158" s="4">
        <v>0.108</v>
      </c>
      <c r="R158" s="4">
        <v>0.67700000000000005</v>
      </c>
      <c r="S158" s="4">
        <v>0.19</v>
      </c>
      <c r="T158">
        <v>0.55700000000000005</v>
      </c>
      <c r="U158" t="s">
        <v>79</v>
      </c>
      <c r="V158" t="s">
        <v>80</v>
      </c>
    </row>
    <row r="159" spans="1:22" x14ac:dyDescent="0.3">
      <c r="A159" t="s">
        <v>446</v>
      </c>
      <c r="B159" t="s">
        <v>50</v>
      </c>
      <c r="C159" t="s">
        <v>397</v>
      </c>
      <c r="D159" t="s">
        <v>447</v>
      </c>
      <c r="E159" s="3">
        <v>10.871169999999999</v>
      </c>
      <c r="F159" s="3">
        <v>-2.2581000000000002</v>
      </c>
      <c r="G159" s="4">
        <v>287.8</v>
      </c>
      <c r="H159" s="4">
        <v>35.299999999999997</v>
      </c>
      <c r="I159" s="4">
        <v>33.6</v>
      </c>
      <c r="J159" s="4" t="s">
        <v>101</v>
      </c>
      <c r="K159" s="4" t="s">
        <v>102</v>
      </c>
      <c r="L159" s="4" t="s">
        <v>116</v>
      </c>
      <c r="M159" s="4" t="s">
        <v>91</v>
      </c>
      <c r="N159" s="4">
        <v>3.54</v>
      </c>
      <c r="O159" s="4">
        <v>5.84</v>
      </c>
      <c r="P159" s="4">
        <v>0.05</v>
      </c>
      <c r="Q159" s="4">
        <v>0.05</v>
      </c>
      <c r="R159" s="4">
        <v>0.71699999999999997</v>
      </c>
      <c r="S159" s="4">
        <v>0.17899999999999999</v>
      </c>
      <c r="T159">
        <v>0.36499999999999999</v>
      </c>
      <c r="U159" t="s">
        <v>79</v>
      </c>
      <c r="V159" t="s">
        <v>80</v>
      </c>
    </row>
    <row r="160" spans="1:22" x14ac:dyDescent="0.3">
      <c r="A160" t="s">
        <v>448</v>
      </c>
      <c r="B160" t="s">
        <v>50</v>
      </c>
      <c r="C160" t="s">
        <v>397</v>
      </c>
      <c r="D160" t="s">
        <v>449</v>
      </c>
      <c r="E160" s="3">
        <v>9.8550900000000006</v>
      </c>
      <c r="F160" s="3">
        <v>-2.8689399999999998</v>
      </c>
      <c r="G160" s="4">
        <v>213.8</v>
      </c>
      <c r="H160" s="4">
        <v>84</v>
      </c>
      <c r="I160" s="4">
        <v>16.899999999999999</v>
      </c>
      <c r="J160" s="4" t="s">
        <v>101</v>
      </c>
      <c r="K160" s="4" t="s">
        <v>102</v>
      </c>
      <c r="L160" s="4" t="s">
        <v>103</v>
      </c>
      <c r="M160" s="4" t="s">
        <v>91</v>
      </c>
      <c r="N160" s="4">
        <v>0.32</v>
      </c>
      <c r="O160" s="4">
        <v>0.51</v>
      </c>
      <c r="P160" s="4">
        <v>2.88</v>
      </c>
      <c r="Q160" s="4">
        <v>0.52800000000000002</v>
      </c>
      <c r="R160" s="4">
        <v>0.60399999999999998</v>
      </c>
      <c r="S160" s="4">
        <v>0.3</v>
      </c>
      <c r="T160">
        <v>0.52900000000000003</v>
      </c>
      <c r="U160" t="s">
        <v>79</v>
      </c>
      <c r="V160" t="s">
        <v>80</v>
      </c>
    </row>
    <row r="161" spans="1:22" x14ac:dyDescent="0.3">
      <c r="A161" t="s">
        <v>450</v>
      </c>
      <c r="B161" t="s">
        <v>50</v>
      </c>
      <c r="C161" t="s">
        <v>366</v>
      </c>
      <c r="D161" t="s">
        <v>451</v>
      </c>
      <c r="E161" s="3">
        <v>9.8326700000000002</v>
      </c>
      <c r="F161" s="3">
        <v>-3.0954000000000002</v>
      </c>
      <c r="G161" s="4">
        <v>217.6</v>
      </c>
      <c r="H161" s="4">
        <v>20</v>
      </c>
      <c r="I161" s="4">
        <v>13.5</v>
      </c>
      <c r="J161" s="4" t="s">
        <v>101</v>
      </c>
      <c r="K161" s="4" t="s">
        <v>102</v>
      </c>
      <c r="L161" s="4" t="s">
        <v>103</v>
      </c>
      <c r="M161" s="4" t="s">
        <v>78</v>
      </c>
      <c r="N161" s="4">
        <v>10.61</v>
      </c>
      <c r="O161" s="4">
        <v>2.71</v>
      </c>
      <c r="P161" s="4">
        <v>1.56</v>
      </c>
      <c r="Q161" s="4">
        <v>0.437</v>
      </c>
      <c r="R161" s="4">
        <v>0.70499999999999996</v>
      </c>
      <c r="S161" s="4">
        <v>0.254</v>
      </c>
      <c r="T161">
        <v>0.54400000000000004</v>
      </c>
      <c r="U161" t="s">
        <v>79</v>
      </c>
      <c r="V161" t="s">
        <v>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1"/>
  <sheetViews>
    <sheetView tabSelected="1" topLeftCell="M69" workbookViewId="0">
      <selection activeCell="D323" sqref="D323"/>
    </sheetView>
  </sheetViews>
  <sheetFormatPr defaultRowHeight="14.4" x14ac:dyDescent="0.3"/>
  <cols>
    <col min="1" max="36" width="16" customWidth="1"/>
  </cols>
  <sheetData>
    <row r="1" spans="1:36" ht="28.8" x14ac:dyDescent="0.3">
      <c r="A1" s="10" t="s">
        <v>452</v>
      </c>
      <c r="B1" s="10" t="s">
        <v>51</v>
      </c>
      <c r="C1" s="10" t="s">
        <v>453</v>
      </c>
      <c r="D1" s="10" t="s">
        <v>454</v>
      </c>
      <c r="E1" s="10" t="s">
        <v>37</v>
      </c>
      <c r="F1" s="10" t="s">
        <v>59</v>
      </c>
      <c r="G1" s="10" t="s">
        <v>455</v>
      </c>
      <c r="H1" s="10" t="s">
        <v>456</v>
      </c>
      <c r="I1" s="10" t="s">
        <v>457</v>
      </c>
      <c r="J1" s="10" t="s">
        <v>458</v>
      </c>
      <c r="K1" s="10" t="s">
        <v>459</v>
      </c>
      <c r="L1" s="10" t="s">
        <v>460</v>
      </c>
      <c r="M1" s="10" t="s">
        <v>461</v>
      </c>
      <c r="N1" s="10" t="s">
        <v>462</v>
      </c>
      <c r="O1" s="10" t="s">
        <v>463</v>
      </c>
      <c r="P1" s="10" t="s">
        <v>464</v>
      </c>
      <c r="Q1" s="10" t="s">
        <v>465</v>
      </c>
      <c r="R1" s="10" t="s">
        <v>466</v>
      </c>
      <c r="S1" s="10" t="s">
        <v>467</v>
      </c>
      <c r="T1" s="10" t="s">
        <v>468</v>
      </c>
      <c r="U1" s="10" t="s">
        <v>469</v>
      </c>
      <c r="V1" s="10" t="s">
        <v>470</v>
      </c>
      <c r="W1" s="10" t="s">
        <v>471</v>
      </c>
      <c r="X1" s="10" t="s">
        <v>472</v>
      </c>
      <c r="Y1" s="10" t="s">
        <v>473</v>
      </c>
      <c r="Z1" s="10" t="s">
        <v>474</v>
      </c>
      <c r="AA1" s="10" t="s">
        <v>475</v>
      </c>
      <c r="AB1" s="10" t="s">
        <v>476</v>
      </c>
      <c r="AC1" s="10" t="s">
        <v>477</v>
      </c>
      <c r="AD1" s="10" t="s">
        <v>478</v>
      </c>
      <c r="AE1" s="10" t="s">
        <v>479</v>
      </c>
      <c r="AF1" s="10" t="s">
        <v>480</v>
      </c>
      <c r="AG1" s="10" t="s">
        <v>481</v>
      </c>
      <c r="AH1" s="10" t="s">
        <v>46</v>
      </c>
      <c r="AI1" s="10" t="s">
        <v>482</v>
      </c>
      <c r="AJ1" s="10" t="s">
        <v>71</v>
      </c>
    </row>
    <row r="2" spans="1:36" x14ac:dyDescent="0.3">
      <c r="A2" t="s">
        <v>483</v>
      </c>
      <c r="B2" t="s">
        <v>72</v>
      </c>
      <c r="C2" t="s">
        <v>484</v>
      </c>
      <c r="D2" s="9" t="s">
        <v>485</v>
      </c>
      <c r="E2" t="s">
        <v>47</v>
      </c>
      <c r="F2" t="s">
        <v>75</v>
      </c>
      <c r="G2" s="4">
        <v>7.1</v>
      </c>
      <c r="H2" s="4">
        <v>480.3</v>
      </c>
      <c r="I2" s="4">
        <v>314.60000000000002</v>
      </c>
      <c r="J2" s="4">
        <v>27.4</v>
      </c>
      <c r="K2" s="4">
        <v>31.55</v>
      </c>
      <c r="L2" s="4">
        <v>11</v>
      </c>
      <c r="M2" s="4">
        <v>25.94</v>
      </c>
      <c r="N2" s="4">
        <v>3.42</v>
      </c>
      <c r="O2" s="4">
        <v>114.45</v>
      </c>
      <c r="P2" s="4">
        <v>26.91</v>
      </c>
      <c r="Q2" s="4">
        <v>38.25</v>
      </c>
      <c r="R2" s="4">
        <v>14.31</v>
      </c>
      <c r="S2" s="4">
        <v>0.61</v>
      </c>
      <c r="T2" s="4">
        <v>-4.55</v>
      </c>
      <c r="U2" s="4">
        <v>-28.14</v>
      </c>
      <c r="V2" s="4">
        <v>0.217</v>
      </c>
      <c r="W2" s="4">
        <v>51.5</v>
      </c>
      <c r="X2" s="4">
        <v>0.01</v>
      </c>
      <c r="Y2" s="4">
        <v>-0.36</v>
      </c>
      <c r="Z2" s="4">
        <v>-1.25</v>
      </c>
      <c r="AA2" s="4">
        <v>-5.41</v>
      </c>
      <c r="AB2" s="4">
        <f t="shared" ref="AB2:AB65" si="0">K2/20.039+L2/12.1525+M2/22.989+N2/39.098</f>
        <v>3.6954316534889546</v>
      </c>
      <c r="AC2" s="4">
        <f t="shared" ref="AC2:AC65" si="1">O2/61.016+P2/35.453+Q2/48.03+R2/62.0049+S2/18.998</f>
        <v>3.6940447166543033</v>
      </c>
      <c r="AD2" s="4">
        <f t="shared" ref="AD2:AD65" si="2">100*(AB2-AC2)/(AB2+AC2)</f>
        <v>1.8769081396012497E-2</v>
      </c>
      <c r="AE2" s="4">
        <f t="shared" ref="AE2:AE65" si="3">(M2/22.989)/SQRT(((K2/20.039)+(L2/12.1525))/2)</f>
        <v>1.0133854225528305</v>
      </c>
      <c r="AF2">
        <f t="shared" ref="AF2:AF65" si="4">100*((M2/22.989)+(N2/39.098))/AB2</f>
        <v>32.901115732343463</v>
      </c>
      <c r="AG2" t="s">
        <v>486</v>
      </c>
      <c r="AH2" t="s">
        <v>48</v>
      </c>
      <c r="AI2" t="s">
        <v>487</v>
      </c>
      <c r="AJ2" t="s">
        <v>488</v>
      </c>
    </row>
    <row r="3" spans="1:36" x14ac:dyDescent="0.3">
      <c r="A3" t="s">
        <v>489</v>
      </c>
      <c r="B3" t="s">
        <v>72</v>
      </c>
      <c r="C3" t="s">
        <v>490</v>
      </c>
      <c r="D3" s="9" t="s">
        <v>491</v>
      </c>
      <c r="E3" t="s">
        <v>47</v>
      </c>
      <c r="F3" t="s">
        <v>75</v>
      </c>
      <c r="G3" s="4">
        <v>7.02</v>
      </c>
      <c r="H3" s="4">
        <v>720.5</v>
      </c>
      <c r="I3" s="4">
        <v>481</v>
      </c>
      <c r="J3" s="4">
        <v>28.9</v>
      </c>
      <c r="K3" s="4">
        <v>45.13</v>
      </c>
      <c r="L3" s="4">
        <v>18.5</v>
      </c>
      <c r="M3" s="4">
        <v>51.65</v>
      </c>
      <c r="N3" s="4">
        <v>5.71</v>
      </c>
      <c r="O3" s="4">
        <v>169.19</v>
      </c>
      <c r="P3" s="4">
        <v>54.54</v>
      </c>
      <c r="Q3" s="4">
        <v>60.52</v>
      </c>
      <c r="R3" s="4">
        <v>21.79</v>
      </c>
      <c r="S3" s="4">
        <v>0.71</v>
      </c>
      <c r="T3" s="4">
        <v>-3.9</v>
      </c>
      <c r="U3" s="4">
        <v>-23.34</v>
      </c>
      <c r="V3" s="4">
        <v>0.26300000000000001</v>
      </c>
      <c r="W3" s="4">
        <v>47.5</v>
      </c>
      <c r="X3" s="4">
        <v>-0.35</v>
      </c>
      <c r="Y3" s="4">
        <v>-0.56000000000000005</v>
      </c>
      <c r="Z3" s="4">
        <v>-0.98</v>
      </c>
      <c r="AA3" s="4">
        <v>-5.39</v>
      </c>
      <c r="AB3" s="4">
        <f t="shared" si="0"/>
        <v>6.167198870072176</v>
      </c>
      <c r="AC3" s="4">
        <f t="shared" si="1"/>
        <v>5.9600959932306417</v>
      </c>
      <c r="AD3" s="4">
        <f t="shared" si="2"/>
        <v>1.7077417443541139</v>
      </c>
      <c r="AE3" s="4">
        <f t="shared" si="3"/>
        <v>1.6354588416958411</v>
      </c>
      <c r="AF3">
        <f t="shared" si="4"/>
        <v>38.798326787521525</v>
      </c>
      <c r="AG3" t="s">
        <v>492</v>
      </c>
      <c r="AH3" t="s">
        <v>48</v>
      </c>
      <c r="AI3" t="s">
        <v>487</v>
      </c>
      <c r="AJ3" t="s">
        <v>488</v>
      </c>
    </row>
    <row r="4" spans="1:36" x14ac:dyDescent="0.3">
      <c r="A4" t="s">
        <v>493</v>
      </c>
      <c r="B4" t="s">
        <v>81</v>
      </c>
      <c r="C4" t="s">
        <v>484</v>
      </c>
      <c r="D4" s="9" t="s">
        <v>494</v>
      </c>
      <c r="E4" t="s">
        <v>47</v>
      </c>
      <c r="F4" t="s">
        <v>75</v>
      </c>
      <c r="G4" s="4">
        <v>7.28</v>
      </c>
      <c r="H4" s="4">
        <v>538.70000000000005</v>
      </c>
      <c r="I4" s="4">
        <v>305.60000000000002</v>
      </c>
      <c r="J4" s="4">
        <v>28.7</v>
      </c>
      <c r="K4" s="4">
        <v>33.090000000000003</v>
      </c>
      <c r="L4" s="4">
        <v>8.6999999999999993</v>
      </c>
      <c r="M4" s="4">
        <v>27.8</v>
      </c>
      <c r="N4" s="4">
        <v>3.97</v>
      </c>
      <c r="O4" s="4">
        <v>114.08</v>
      </c>
      <c r="P4" s="4">
        <v>33.58</v>
      </c>
      <c r="Q4" s="4">
        <v>32.53</v>
      </c>
      <c r="R4" s="4">
        <v>9.8000000000000007</v>
      </c>
      <c r="S4" s="4">
        <v>0.43</v>
      </c>
      <c r="T4" s="4">
        <v>-3.79</v>
      </c>
      <c r="U4" s="4">
        <v>-28.05</v>
      </c>
      <c r="V4" s="4">
        <v>0.29099999999999998</v>
      </c>
      <c r="W4" s="4">
        <v>45.9</v>
      </c>
      <c r="X4" s="4">
        <v>0.13</v>
      </c>
      <c r="Y4" s="4">
        <v>0.09</v>
      </c>
      <c r="Z4" s="4">
        <v>-0.74</v>
      </c>
      <c r="AA4" s="4">
        <v>-5.35</v>
      </c>
      <c r="AB4" s="4">
        <f t="shared" si="0"/>
        <v>3.6779958030648054</v>
      </c>
      <c r="AC4" s="4">
        <f t="shared" si="1"/>
        <v>3.6748140368380855</v>
      </c>
      <c r="AD4" s="4">
        <f t="shared" si="2"/>
        <v>4.3272793612216857E-2</v>
      </c>
      <c r="AE4" s="4">
        <f t="shared" si="3"/>
        <v>1.111536890799804</v>
      </c>
      <c r="AF4">
        <f t="shared" si="4"/>
        <v>35.639347935594067</v>
      </c>
      <c r="AG4" t="s">
        <v>486</v>
      </c>
      <c r="AH4" t="s">
        <v>48</v>
      </c>
      <c r="AI4" t="s">
        <v>487</v>
      </c>
      <c r="AJ4" t="s">
        <v>488</v>
      </c>
    </row>
    <row r="5" spans="1:36" x14ac:dyDescent="0.3">
      <c r="A5" t="s">
        <v>495</v>
      </c>
      <c r="B5" t="s">
        <v>81</v>
      </c>
      <c r="C5" t="s">
        <v>490</v>
      </c>
      <c r="D5" s="9" t="s">
        <v>496</v>
      </c>
      <c r="E5" t="s">
        <v>47</v>
      </c>
      <c r="F5" t="s">
        <v>75</v>
      </c>
      <c r="G5" s="4">
        <v>6.96</v>
      </c>
      <c r="H5" s="4">
        <v>772.1</v>
      </c>
      <c r="I5" s="4">
        <v>477.7</v>
      </c>
      <c r="J5" s="4">
        <v>30.1</v>
      </c>
      <c r="K5" s="4">
        <v>44.82</v>
      </c>
      <c r="L5" s="4">
        <v>15.93</v>
      </c>
      <c r="M5" s="4">
        <v>45.51</v>
      </c>
      <c r="N5" s="4">
        <v>6.83</v>
      </c>
      <c r="O5" s="4">
        <v>165.83</v>
      </c>
      <c r="P5" s="4">
        <v>60.51</v>
      </c>
      <c r="Q5" s="4">
        <v>40.130000000000003</v>
      </c>
      <c r="R5" s="4">
        <v>29</v>
      </c>
      <c r="S5" s="4">
        <v>0.47</v>
      </c>
      <c r="T5" s="4">
        <v>-3.22</v>
      </c>
      <c r="U5" s="4">
        <v>-21.17</v>
      </c>
      <c r="V5" s="4">
        <v>0.16300000000000001</v>
      </c>
      <c r="W5" s="4">
        <v>56.9</v>
      </c>
      <c r="X5" s="4">
        <v>0.02</v>
      </c>
      <c r="Y5" s="4">
        <v>-0.61</v>
      </c>
      <c r="Z5" s="4">
        <v>-0.77</v>
      </c>
      <c r="AA5" s="4">
        <v>-4.49</v>
      </c>
      <c r="AB5" s="4">
        <f t="shared" si="0"/>
        <v>5.7018116255825442</v>
      </c>
      <c r="AC5" s="4">
        <f t="shared" si="1"/>
        <v>5.7525423116921655</v>
      </c>
      <c r="AD5" s="4">
        <f t="shared" si="2"/>
        <v>-0.44289434731481186</v>
      </c>
      <c r="AE5" s="4">
        <f t="shared" si="3"/>
        <v>1.4864208158811814</v>
      </c>
      <c r="AF5">
        <f t="shared" si="4"/>
        <v>37.783284008159022</v>
      </c>
      <c r="AG5" t="s">
        <v>497</v>
      </c>
      <c r="AH5" t="s">
        <v>48</v>
      </c>
      <c r="AI5" t="s">
        <v>487</v>
      </c>
      <c r="AJ5" t="s">
        <v>488</v>
      </c>
    </row>
    <row r="6" spans="1:36" x14ac:dyDescent="0.3">
      <c r="A6" t="s">
        <v>498</v>
      </c>
      <c r="B6" t="s">
        <v>86</v>
      </c>
      <c r="C6" t="s">
        <v>484</v>
      </c>
      <c r="D6" s="9" t="s">
        <v>499</v>
      </c>
      <c r="E6" t="s">
        <v>47</v>
      </c>
      <c r="F6" t="s">
        <v>75</v>
      </c>
      <c r="G6" s="4">
        <v>7.29</v>
      </c>
      <c r="H6" s="4">
        <v>502.2</v>
      </c>
      <c r="I6" s="4">
        <v>338.5</v>
      </c>
      <c r="J6" s="4">
        <v>28.4</v>
      </c>
      <c r="K6" s="4">
        <v>30.39</v>
      </c>
      <c r="L6" s="4">
        <v>9.1199999999999992</v>
      </c>
      <c r="M6" s="4">
        <v>38.619999999999997</v>
      </c>
      <c r="N6" s="4">
        <v>3.96</v>
      </c>
      <c r="O6" s="4">
        <v>137.1</v>
      </c>
      <c r="P6" s="4">
        <v>23.38</v>
      </c>
      <c r="Q6" s="4">
        <v>37.5</v>
      </c>
      <c r="R6" s="4">
        <v>14.03</v>
      </c>
      <c r="S6" s="4">
        <v>0.45</v>
      </c>
      <c r="T6" s="4">
        <v>-4.6500000000000004</v>
      </c>
      <c r="U6" s="4">
        <v>-31.79</v>
      </c>
      <c r="V6" s="4">
        <v>0.18099999999999999</v>
      </c>
      <c r="W6" s="4">
        <v>44.2</v>
      </c>
      <c r="X6" s="4">
        <v>-0.4</v>
      </c>
      <c r="Y6" s="4">
        <v>-0.34</v>
      </c>
      <c r="Z6" s="4">
        <v>-0.79</v>
      </c>
      <c r="AA6" s="4">
        <v>-4.9400000000000004</v>
      </c>
      <c r="AB6" s="4">
        <f t="shared" si="0"/>
        <v>4.0482234439413984</v>
      </c>
      <c r="AC6" s="4">
        <f t="shared" si="1"/>
        <v>3.9371374299355404</v>
      </c>
      <c r="AD6" s="4">
        <f t="shared" si="2"/>
        <v>1.3911207741313405</v>
      </c>
      <c r="AE6" s="4">
        <f t="shared" si="3"/>
        <v>1.577905135477665</v>
      </c>
      <c r="AF6">
        <f t="shared" si="4"/>
        <v>43.999988123944014</v>
      </c>
      <c r="AG6" t="s">
        <v>492</v>
      </c>
      <c r="AH6" t="s">
        <v>500</v>
      </c>
      <c r="AI6" t="s">
        <v>487</v>
      </c>
      <c r="AJ6" t="s">
        <v>488</v>
      </c>
    </row>
    <row r="7" spans="1:36" x14ac:dyDescent="0.3">
      <c r="A7" t="s">
        <v>501</v>
      </c>
      <c r="B7" t="s">
        <v>86</v>
      </c>
      <c r="C7" t="s">
        <v>490</v>
      </c>
      <c r="D7" s="9" t="s">
        <v>502</v>
      </c>
      <c r="E7" t="s">
        <v>47</v>
      </c>
      <c r="F7" t="s">
        <v>75</v>
      </c>
      <c r="G7" s="4">
        <v>7.15</v>
      </c>
      <c r="H7" s="4">
        <v>818.7</v>
      </c>
      <c r="I7" s="4">
        <v>555.79999999999995</v>
      </c>
      <c r="J7" s="4">
        <v>28.7</v>
      </c>
      <c r="K7" s="4">
        <v>60.58</v>
      </c>
      <c r="L7" s="4">
        <v>17.940000000000001</v>
      </c>
      <c r="M7" s="4">
        <v>54.08</v>
      </c>
      <c r="N7" s="4">
        <v>7.11</v>
      </c>
      <c r="O7" s="4">
        <v>226.84</v>
      </c>
      <c r="P7" s="4">
        <v>65.8</v>
      </c>
      <c r="Q7" s="4">
        <v>54.46</v>
      </c>
      <c r="R7" s="4">
        <v>28.12</v>
      </c>
      <c r="S7" s="4">
        <v>1.01</v>
      </c>
      <c r="T7" s="4">
        <v>-3.71</v>
      </c>
      <c r="U7" s="4">
        <v>-26.26</v>
      </c>
      <c r="V7" s="4">
        <v>0.25</v>
      </c>
      <c r="W7" s="4">
        <v>35.9</v>
      </c>
      <c r="X7" s="4">
        <v>-0.03</v>
      </c>
      <c r="Y7" s="4">
        <v>-0.65</v>
      </c>
      <c r="Z7" s="4">
        <v>-0.88</v>
      </c>
      <c r="AA7" s="4">
        <v>-5.03</v>
      </c>
      <c r="AB7" s="4">
        <f t="shared" si="0"/>
        <v>7.0336245590787296</v>
      </c>
      <c r="AC7" s="4">
        <f t="shared" si="1"/>
        <v>7.2142424217098107</v>
      </c>
      <c r="AD7" s="4">
        <f t="shared" si="2"/>
        <v>-1.2676835267666491</v>
      </c>
      <c r="AE7" s="4">
        <f t="shared" si="3"/>
        <v>1.568400534878488</v>
      </c>
      <c r="AF7">
        <f t="shared" si="4"/>
        <v>36.03092737654233</v>
      </c>
      <c r="AG7" t="s">
        <v>497</v>
      </c>
      <c r="AH7" t="s">
        <v>48</v>
      </c>
      <c r="AI7" t="s">
        <v>487</v>
      </c>
      <c r="AJ7" t="s">
        <v>488</v>
      </c>
    </row>
    <row r="8" spans="1:36" x14ac:dyDescent="0.3">
      <c r="A8" t="s">
        <v>503</v>
      </c>
      <c r="B8" t="s">
        <v>88</v>
      </c>
      <c r="C8" t="s">
        <v>484</v>
      </c>
      <c r="D8" s="9" t="s">
        <v>504</v>
      </c>
      <c r="E8" t="s">
        <v>47</v>
      </c>
      <c r="F8" t="s">
        <v>75</v>
      </c>
      <c r="G8" s="4">
        <v>7.06</v>
      </c>
      <c r="H8" s="4">
        <v>595.6</v>
      </c>
      <c r="I8" s="4">
        <v>337.4</v>
      </c>
      <c r="J8" s="4">
        <v>28.3</v>
      </c>
      <c r="K8" s="4">
        <v>29.96</v>
      </c>
      <c r="L8" s="4">
        <v>12.07</v>
      </c>
      <c r="M8" s="4">
        <v>31.18</v>
      </c>
      <c r="N8" s="4">
        <v>3.44</v>
      </c>
      <c r="O8" s="4">
        <v>102.6</v>
      </c>
      <c r="P8" s="4">
        <v>39.590000000000003</v>
      </c>
      <c r="Q8" s="4">
        <v>30.89</v>
      </c>
      <c r="R8" s="4">
        <v>34.04</v>
      </c>
      <c r="S8" s="4">
        <v>0.34</v>
      </c>
      <c r="T8" s="4">
        <v>-4.0199999999999996</v>
      </c>
      <c r="U8" s="4">
        <v>-23.4</v>
      </c>
      <c r="V8" s="4">
        <v>0.27800000000000002</v>
      </c>
      <c r="W8" s="4">
        <v>47.8</v>
      </c>
      <c r="X8" s="4">
        <v>-0.21</v>
      </c>
      <c r="Y8" s="4">
        <v>-0.28000000000000003</v>
      </c>
      <c r="Z8" s="4">
        <v>-0.94</v>
      </c>
      <c r="AA8" s="4">
        <v>-5.01</v>
      </c>
      <c r="AB8" s="4">
        <f t="shared" si="0"/>
        <v>3.9325807380959725</v>
      </c>
      <c r="AC8" s="4">
        <f t="shared" si="1"/>
        <v>4.0082410542151656</v>
      </c>
      <c r="AD8" s="4">
        <f t="shared" si="2"/>
        <v>-0.95280209149703798</v>
      </c>
      <c r="AE8" s="4">
        <f t="shared" si="3"/>
        <v>1.215962047675432</v>
      </c>
      <c r="AF8">
        <f t="shared" si="4"/>
        <v>36.726134206098429</v>
      </c>
      <c r="AG8" t="s">
        <v>497</v>
      </c>
      <c r="AH8" t="s">
        <v>48</v>
      </c>
      <c r="AI8" t="s">
        <v>487</v>
      </c>
      <c r="AJ8" t="s">
        <v>488</v>
      </c>
    </row>
    <row r="9" spans="1:36" x14ac:dyDescent="0.3">
      <c r="A9" t="s">
        <v>505</v>
      </c>
      <c r="B9" t="s">
        <v>88</v>
      </c>
      <c r="C9" t="s">
        <v>490</v>
      </c>
      <c r="D9" s="9" t="s">
        <v>502</v>
      </c>
      <c r="E9" t="s">
        <v>47</v>
      </c>
      <c r="F9" t="s">
        <v>75</v>
      </c>
      <c r="G9" s="4">
        <v>6.84</v>
      </c>
      <c r="H9" s="4">
        <v>922.7</v>
      </c>
      <c r="I9" s="4">
        <v>538.9</v>
      </c>
      <c r="J9" s="4">
        <v>29.8</v>
      </c>
      <c r="K9" s="4">
        <v>49.59</v>
      </c>
      <c r="L9" s="4">
        <v>21.61</v>
      </c>
      <c r="M9" s="4">
        <v>59.16</v>
      </c>
      <c r="N9" s="4">
        <v>8.25</v>
      </c>
      <c r="O9" s="4">
        <v>165</v>
      </c>
      <c r="P9" s="4">
        <v>75.88</v>
      </c>
      <c r="Q9" s="4">
        <v>55.56</v>
      </c>
      <c r="R9" s="4">
        <v>54.92</v>
      </c>
      <c r="S9" s="4">
        <v>0.47</v>
      </c>
      <c r="T9" s="4">
        <v>-4.25</v>
      </c>
      <c r="U9" s="4">
        <v>-24.19</v>
      </c>
      <c r="V9" s="4">
        <v>0.17799999999999999</v>
      </c>
      <c r="W9" s="4">
        <v>32.9</v>
      </c>
      <c r="X9" s="4">
        <v>-0.52</v>
      </c>
      <c r="Y9" s="4">
        <v>-0.54</v>
      </c>
      <c r="Z9" s="4">
        <v>-0.87</v>
      </c>
      <c r="AA9" s="4">
        <v>-5.1100000000000003</v>
      </c>
      <c r="AB9" s="4">
        <f t="shared" si="0"/>
        <v>7.0373222235484265</v>
      </c>
      <c r="AC9" s="4">
        <f t="shared" si="1"/>
        <v>6.9117600658851792</v>
      </c>
      <c r="AD9" s="4">
        <f t="shared" si="2"/>
        <v>0.90014636847013452</v>
      </c>
      <c r="AE9" s="4">
        <f t="shared" si="3"/>
        <v>1.7647371232434264</v>
      </c>
      <c r="AF9">
        <f t="shared" si="4"/>
        <v>39.566369409626866</v>
      </c>
      <c r="AG9" t="s">
        <v>492</v>
      </c>
      <c r="AH9" t="s">
        <v>506</v>
      </c>
      <c r="AI9" t="s">
        <v>487</v>
      </c>
      <c r="AJ9" t="s">
        <v>488</v>
      </c>
    </row>
    <row r="10" spans="1:36" x14ac:dyDescent="0.3">
      <c r="A10" t="s">
        <v>507</v>
      </c>
      <c r="B10" t="s">
        <v>92</v>
      </c>
      <c r="C10" t="s">
        <v>484</v>
      </c>
      <c r="D10" s="9" t="s">
        <v>508</v>
      </c>
      <c r="E10" t="s">
        <v>47</v>
      </c>
      <c r="F10" t="s">
        <v>75</v>
      </c>
      <c r="G10" s="4">
        <v>7</v>
      </c>
      <c r="H10" s="4">
        <v>520.5</v>
      </c>
      <c r="I10" s="4">
        <v>337.6</v>
      </c>
      <c r="J10" s="4">
        <v>28.3</v>
      </c>
      <c r="K10" s="4">
        <v>34.96</v>
      </c>
      <c r="L10" s="4">
        <v>8.07</v>
      </c>
      <c r="M10" s="4">
        <v>35.75</v>
      </c>
      <c r="N10" s="4">
        <v>3.92</v>
      </c>
      <c r="O10" s="4">
        <v>120.41</v>
      </c>
      <c r="P10" s="4">
        <v>40.619999999999997</v>
      </c>
      <c r="Q10" s="4">
        <v>36.020000000000003</v>
      </c>
      <c r="R10" s="4">
        <v>12.73</v>
      </c>
      <c r="S10" s="4">
        <v>0.56999999999999995</v>
      </c>
      <c r="T10" s="4">
        <v>-4.2</v>
      </c>
      <c r="U10" s="4">
        <v>-24.02</v>
      </c>
      <c r="V10" s="4">
        <v>0.20599999999999999</v>
      </c>
      <c r="W10" s="4">
        <v>48</v>
      </c>
      <c r="X10" s="4">
        <v>-0.28000000000000003</v>
      </c>
      <c r="Y10" s="4">
        <v>-0.51</v>
      </c>
      <c r="Z10" s="4">
        <v>-1.2</v>
      </c>
      <c r="AA10" s="4">
        <v>-5.5</v>
      </c>
      <c r="AB10" s="4">
        <f t="shared" si="0"/>
        <v>4.0640113750953839</v>
      </c>
      <c r="AC10" s="4">
        <f t="shared" si="1"/>
        <v>4.1044165212550752</v>
      </c>
      <c r="AD10" s="4">
        <f t="shared" si="2"/>
        <v>-0.49465021510128931</v>
      </c>
      <c r="AE10" s="4">
        <f t="shared" si="3"/>
        <v>1.4170439173783369</v>
      </c>
      <c r="AF10">
        <f t="shared" si="4"/>
        <v>40.731983640230361</v>
      </c>
      <c r="AG10" t="s">
        <v>497</v>
      </c>
      <c r="AH10" t="s">
        <v>48</v>
      </c>
      <c r="AI10" t="s">
        <v>487</v>
      </c>
      <c r="AJ10" t="s">
        <v>488</v>
      </c>
    </row>
    <row r="11" spans="1:36" x14ac:dyDescent="0.3">
      <c r="A11" t="s">
        <v>509</v>
      </c>
      <c r="B11" t="s">
        <v>92</v>
      </c>
      <c r="C11" t="s">
        <v>490</v>
      </c>
      <c r="D11" s="9" t="s">
        <v>510</v>
      </c>
      <c r="E11" t="s">
        <v>47</v>
      </c>
      <c r="F11" t="s">
        <v>75</v>
      </c>
      <c r="G11" s="4">
        <v>7.17</v>
      </c>
      <c r="H11" s="4">
        <v>868.4</v>
      </c>
      <c r="I11" s="4">
        <v>521.1</v>
      </c>
      <c r="J11" s="4">
        <v>28.8</v>
      </c>
      <c r="K11" s="4">
        <v>54.23</v>
      </c>
      <c r="L11" s="4">
        <v>18.059999999999999</v>
      </c>
      <c r="M11" s="4">
        <v>45.25</v>
      </c>
      <c r="N11" s="4">
        <v>7.27</v>
      </c>
      <c r="O11" s="4">
        <v>193.29</v>
      </c>
      <c r="P11" s="4">
        <v>71.62</v>
      </c>
      <c r="Q11" s="4">
        <v>59.53</v>
      </c>
      <c r="R11" s="4">
        <v>9.9700000000000006</v>
      </c>
      <c r="S11" s="4">
        <v>0.66</v>
      </c>
      <c r="T11" s="4">
        <v>-3.59</v>
      </c>
      <c r="U11" s="4">
        <v>-23</v>
      </c>
      <c r="V11" s="4">
        <v>0.32500000000000001</v>
      </c>
      <c r="W11" s="4">
        <v>42.2</v>
      </c>
      <c r="X11" s="4">
        <v>0.17</v>
      </c>
      <c r="Y11" s="4">
        <v>0.28000000000000003</v>
      </c>
      <c r="Z11" s="4">
        <v>-1.03</v>
      </c>
      <c r="AA11" s="4">
        <v>-5.19</v>
      </c>
      <c r="AB11" s="4">
        <f t="shared" si="0"/>
        <v>6.3466125295670617</v>
      </c>
      <c r="AC11" s="4">
        <f t="shared" si="1"/>
        <v>6.6229648805244308</v>
      </c>
      <c r="AD11" s="4">
        <f t="shared" si="2"/>
        <v>-2.1307737501326929</v>
      </c>
      <c r="AE11" s="4">
        <f t="shared" si="3"/>
        <v>1.3595194233216521</v>
      </c>
      <c r="AF11">
        <f t="shared" si="4"/>
        <v>33.943709117252439</v>
      </c>
      <c r="AG11" t="s">
        <v>486</v>
      </c>
      <c r="AH11" t="s">
        <v>48</v>
      </c>
      <c r="AI11" t="s">
        <v>487</v>
      </c>
      <c r="AJ11" t="s">
        <v>488</v>
      </c>
    </row>
    <row r="12" spans="1:36" x14ac:dyDescent="0.3">
      <c r="A12" t="s">
        <v>511</v>
      </c>
      <c r="B12" t="s">
        <v>96</v>
      </c>
      <c r="C12" t="s">
        <v>484</v>
      </c>
      <c r="D12" s="9" t="s">
        <v>512</v>
      </c>
      <c r="E12" t="s">
        <v>47</v>
      </c>
      <c r="F12" t="s">
        <v>75</v>
      </c>
      <c r="G12" s="4">
        <v>7.53</v>
      </c>
      <c r="H12" s="4">
        <v>532.5</v>
      </c>
      <c r="I12" s="4">
        <v>376</v>
      </c>
      <c r="J12" s="4">
        <v>29.7</v>
      </c>
      <c r="K12" s="4">
        <v>39.65</v>
      </c>
      <c r="L12" s="4">
        <v>8.35</v>
      </c>
      <c r="M12" s="4">
        <v>37.67</v>
      </c>
      <c r="N12" s="4">
        <v>4.7</v>
      </c>
      <c r="O12" s="4">
        <v>135.26</v>
      </c>
      <c r="P12" s="4">
        <v>38.520000000000003</v>
      </c>
      <c r="Q12" s="4">
        <v>41.49</v>
      </c>
      <c r="R12" s="4">
        <v>13.56</v>
      </c>
      <c r="S12" s="4">
        <v>0.38</v>
      </c>
      <c r="T12" s="4">
        <v>-3.85</v>
      </c>
      <c r="U12" s="4">
        <v>-23.62</v>
      </c>
      <c r="V12" s="4">
        <v>0.308</v>
      </c>
      <c r="W12" s="4">
        <v>48.7</v>
      </c>
      <c r="X12" s="4">
        <v>-0.18</v>
      </c>
      <c r="Y12" s="4">
        <v>-0.38</v>
      </c>
      <c r="Z12" s="4">
        <v>-1.34</v>
      </c>
      <c r="AA12" s="4">
        <v>-4.6100000000000003</v>
      </c>
      <c r="AB12" s="4">
        <f t="shared" si="0"/>
        <v>4.4245635906039897</v>
      </c>
      <c r="AC12" s="4">
        <f t="shared" si="1"/>
        <v>4.4058340959150337</v>
      </c>
      <c r="AD12" s="4">
        <f t="shared" si="2"/>
        <v>0.21210250493643681</v>
      </c>
      <c r="AE12" s="4">
        <f t="shared" si="3"/>
        <v>1.4193234998269555</v>
      </c>
      <c r="AF12">
        <f t="shared" si="4"/>
        <v>39.751276851193609</v>
      </c>
      <c r="AG12" t="s">
        <v>497</v>
      </c>
      <c r="AH12" t="s">
        <v>500</v>
      </c>
      <c r="AI12" t="s">
        <v>487</v>
      </c>
      <c r="AJ12" t="s">
        <v>488</v>
      </c>
    </row>
    <row r="13" spans="1:36" x14ac:dyDescent="0.3">
      <c r="A13" t="s">
        <v>513</v>
      </c>
      <c r="B13" t="s">
        <v>96</v>
      </c>
      <c r="C13" t="s">
        <v>490</v>
      </c>
      <c r="D13" s="9" t="s">
        <v>496</v>
      </c>
      <c r="E13" t="s">
        <v>47</v>
      </c>
      <c r="F13" t="s">
        <v>75</v>
      </c>
      <c r="G13" s="4">
        <v>6.81</v>
      </c>
      <c r="H13" s="4">
        <v>849.9</v>
      </c>
      <c r="I13" s="4">
        <v>520.5</v>
      </c>
      <c r="J13" s="4">
        <v>29</v>
      </c>
      <c r="K13" s="4">
        <v>48.48</v>
      </c>
      <c r="L13" s="4">
        <v>15.63</v>
      </c>
      <c r="M13" s="4">
        <v>59.04</v>
      </c>
      <c r="N13" s="4">
        <v>8.18</v>
      </c>
      <c r="O13" s="4">
        <v>202.52</v>
      </c>
      <c r="P13" s="4">
        <v>63.68</v>
      </c>
      <c r="Q13" s="4">
        <v>47.8</v>
      </c>
      <c r="R13" s="4">
        <v>13.65</v>
      </c>
      <c r="S13" s="4">
        <v>0.77</v>
      </c>
      <c r="T13" s="4">
        <v>-3.7</v>
      </c>
      <c r="U13" s="4">
        <v>-25.03</v>
      </c>
      <c r="V13" s="4">
        <v>0.224</v>
      </c>
      <c r="W13" s="4">
        <v>45.5</v>
      </c>
      <c r="X13" s="4">
        <v>0.21</v>
      </c>
      <c r="Y13" s="4">
        <v>0.05</v>
      </c>
      <c r="Z13" s="4">
        <v>-0.91</v>
      </c>
      <c r="AA13" s="4">
        <v>-4.88</v>
      </c>
      <c r="AB13" s="4">
        <f t="shared" si="0"/>
        <v>6.4828401582715962</v>
      </c>
      <c r="AC13" s="4">
        <f t="shared" si="1"/>
        <v>6.3711960681200228</v>
      </c>
      <c r="AD13" s="4">
        <f t="shared" si="2"/>
        <v>0.86855278906362698</v>
      </c>
      <c r="AE13" s="4">
        <f t="shared" si="3"/>
        <v>1.8867811098693668</v>
      </c>
      <c r="AF13">
        <f t="shared" si="4"/>
        <v>42.84237431474655</v>
      </c>
      <c r="AG13" t="s">
        <v>492</v>
      </c>
      <c r="AH13" t="s">
        <v>48</v>
      </c>
      <c r="AI13" t="s">
        <v>487</v>
      </c>
      <c r="AJ13" t="s">
        <v>488</v>
      </c>
    </row>
    <row r="14" spans="1:36" x14ac:dyDescent="0.3">
      <c r="A14" t="s">
        <v>514</v>
      </c>
      <c r="B14" t="s">
        <v>98</v>
      </c>
      <c r="C14" t="s">
        <v>484</v>
      </c>
      <c r="D14" s="9" t="s">
        <v>515</v>
      </c>
      <c r="E14" t="s">
        <v>47</v>
      </c>
      <c r="F14" t="s">
        <v>101</v>
      </c>
      <c r="G14" s="4">
        <v>6.66</v>
      </c>
      <c r="H14" s="4">
        <v>835.7</v>
      </c>
      <c r="I14" s="4">
        <v>478.4</v>
      </c>
      <c r="J14" s="4">
        <v>27.8</v>
      </c>
      <c r="K14" s="4">
        <v>31.5</v>
      </c>
      <c r="L14" s="4">
        <v>11.27</v>
      </c>
      <c r="M14" s="4">
        <v>30.95</v>
      </c>
      <c r="N14" s="4">
        <v>4.68</v>
      </c>
      <c r="O14" s="4">
        <v>118.28</v>
      </c>
      <c r="P14" s="4">
        <v>31.65</v>
      </c>
      <c r="Q14" s="4">
        <v>29.36</v>
      </c>
      <c r="R14" s="4">
        <v>160.46</v>
      </c>
      <c r="S14" s="4">
        <v>0.51</v>
      </c>
      <c r="T14" s="4">
        <v>-4.2699999999999996</v>
      </c>
      <c r="U14" s="4">
        <v>-27.46</v>
      </c>
      <c r="V14" s="4">
        <v>0.1</v>
      </c>
      <c r="W14" s="4">
        <v>51.6</v>
      </c>
      <c r="X14" s="4">
        <v>-0.44</v>
      </c>
      <c r="Y14" s="4">
        <v>-1.02</v>
      </c>
      <c r="Z14" s="4">
        <v>-1.07</v>
      </c>
      <c r="AA14" s="4">
        <v>-4.67</v>
      </c>
      <c r="AB14" s="4">
        <f t="shared" si="0"/>
        <v>3.9653111965524057</v>
      </c>
      <c r="AC14" s="4">
        <f t="shared" si="1"/>
        <v>6.0572286905017254</v>
      </c>
      <c r="AD14" s="4">
        <f t="shared" si="2"/>
        <v>-20.872129395577645</v>
      </c>
      <c r="AE14" s="4">
        <f t="shared" si="3"/>
        <v>1.2043285799935042</v>
      </c>
      <c r="AF14">
        <f t="shared" si="4"/>
        <v>36.970497378886407</v>
      </c>
      <c r="AG14" t="s">
        <v>497</v>
      </c>
      <c r="AH14" t="s">
        <v>506</v>
      </c>
      <c r="AI14" t="s">
        <v>516</v>
      </c>
      <c r="AJ14" t="s">
        <v>517</v>
      </c>
    </row>
    <row r="15" spans="1:36" x14ac:dyDescent="0.3">
      <c r="A15" t="s">
        <v>518</v>
      </c>
      <c r="B15" t="s">
        <v>98</v>
      </c>
      <c r="C15" t="s">
        <v>490</v>
      </c>
      <c r="D15" s="9" t="s">
        <v>502</v>
      </c>
      <c r="E15" t="s">
        <v>47</v>
      </c>
      <c r="F15" t="s">
        <v>101</v>
      </c>
      <c r="G15" s="4">
        <v>6.9</v>
      </c>
      <c r="H15" s="4">
        <v>756.8</v>
      </c>
      <c r="I15" s="4">
        <v>534.1</v>
      </c>
      <c r="J15" s="4">
        <v>28.2</v>
      </c>
      <c r="K15" s="4">
        <v>48.47</v>
      </c>
      <c r="L15" s="4">
        <v>21.48</v>
      </c>
      <c r="M15" s="4">
        <v>45.32</v>
      </c>
      <c r="N15" s="4">
        <v>6.35</v>
      </c>
      <c r="O15" s="4">
        <v>184</v>
      </c>
      <c r="P15" s="4">
        <v>78.47</v>
      </c>
      <c r="Q15" s="4">
        <v>45.54</v>
      </c>
      <c r="R15" s="4">
        <v>39.26</v>
      </c>
      <c r="S15" s="4">
        <v>0.42</v>
      </c>
      <c r="T15" s="4">
        <v>-2.98</v>
      </c>
      <c r="U15" s="4">
        <v>-21.83</v>
      </c>
      <c r="V15" s="4">
        <v>0.21299999999999999</v>
      </c>
      <c r="W15" s="4">
        <v>59.6</v>
      </c>
      <c r="X15" s="4">
        <v>0.25</v>
      </c>
      <c r="Y15" s="4">
        <v>0.25</v>
      </c>
      <c r="Z15" s="4">
        <v>-1.22</v>
      </c>
      <c r="AA15" s="4">
        <v>-4.0999999999999996</v>
      </c>
      <c r="AB15" s="4">
        <f t="shared" si="0"/>
        <v>6.3201109311315609</v>
      </c>
      <c r="AC15" s="4">
        <f t="shared" si="1"/>
        <v>6.832396111706367</v>
      </c>
      <c r="AD15" s="4">
        <f t="shared" si="2"/>
        <v>-3.8949622220789162</v>
      </c>
      <c r="AE15" s="4">
        <f t="shared" si="3"/>
        <v>1.3626005502281895</v>
      </c>
      <c r="AF15">
        <f t="shared" si="4"/>
        <v>33.76190763491023</v>
      </c>
      <c r="AG15" t="s">
        <v>497</v>
      </c>
      <c r="AH15" t="s">
        <v>48</v>
      </c>
      <c r="AI15" t="s">
        <v>487</v>
      </c>
      <c r="AJ15" t="s">
        <v>488</v>
      </c>
    </row>
    <row r="16" spans="1:36" x14ac:dyDescent="0.3">
      <c r="A16" t="s">
        <v>519</v>
      </c>
      <c r="B16" t="s">
        <v>105</v>
      </c>
      <c r="C16" t="s">
        <v>484</v>
      </c>
      <c r="D16" s="9" t="s">
        <v>520</v>
      </c>
      <c r="E16" t="s">
        <v>47</v>
      </c>
      <c r="F16" t="s">
        <v>75</v>
      </c>
      <c r="G16" s="4">
        <v>7.36</v>
      </c>
      <c r="H16" s="4">
        <v>672.9</v>
      </c>
      <c r="I16" s="4">
        <v>377.4</v>
      </c>
      <c r="J16" s="4">
        <v>29.3</v>
      </c>
      <c r="K16" s="4">
        <v>27.55</v>
      </c>
      <c r="L16" s="4">
        <v>9.8800000000000008</v>
      </c>
      <c r="M16" s="4">
        <v>38.229999999999997</v>
      </c>
      <c r="N16" s="4">
        <v>4.3099999999999996</v>
      </c>
      <c r="O16" s="4">
        <v>141.32</v>
      </c>
      <c r="P16" s="4">
        <v>29.38</v>
      </c>
      <c r="Q16" s="4">
        <v>34.840000000000003</v>
      </c>
      <c r="R16" s="4">
        <v>8.02</v>
      </c>
      <c r="S16" s="4">
        <v>0.19</v>
      </c>
      <c r="T16" s="4">
        <v>-4.96</v>
      </c>
      <c r="U16" s="4">
        <v>-28.54</v>
      </c>
      <c r="V16" s="4">
        <v>0.19</v>
      </c>
      <c r="W16" s="4">
        <v>62.6</v>
      </c>
      <c r="X16" s="4">
        <v>-0.45</v>
      </c>
      <c r="Y16" s="4">
        <v>-0.94</v>
      </c>
      <c r="Z16" s="4">
        <v>-1.06</v>
      </c>
      <c r="AA16" s="4">
        <v>-5.04</v>
      </c>
      <c r="AB16" s="4">
        <f t="shared" si="0"/>
        <v>3.9610256066326452</v>
      </c>
      <c r="AC16" s="4">
        <f t="shared" si="1"/>
        <v>4.0095422357300681</v>
      </c>
      <c r="AD16" s="4">
        <f t="shared" si="2"/>
        <v>-0.60869727297924925</v>
      </c>
      <c r="AE16" s="4">
        <f t="shared" si="3"/>
        <v>1.58998624643348</v>
      </c>
      <c r="AF16">
        <f t="shared" si="4"/>
        <v>44.766311555292674</v>
      </c>
      <c r="AG16" t="s">
        <v>521</v>
      </c>
      <c r="AH16" t="s">
        <v>500</v>
      </c>
      <c r="AI16" t="s">
        <v>487</v>
      </c>
      <c r="AJ16" t="s">
        <v>488</v>
      </c>
    </row>
    <row r="17" spans="1:36" x14ac:dyDescent="0.3">
      <c r="A17" t="s">
        <v>522</v>
      </c>
      <c r="B17" t="s">
        <v>105</v>
      </c>
      <c r="C17" t="s">
        <v>490</v>
      </c>
      <c r="D17" s="9" t="s">
        <v>496</v>
      </c>
      <c r="E17" t="s">
        <v>47</v>
      </c>
      <c r="F17" t="s">
        <v>75</v>
      </c>
      <c r="G17" s="4">
        <v>7.01</v>
      </c>
      <c r="H17" s="4">
        <v>841.5</v>
      </c>
      <c r="I17" s="4">
        <v>488</v>
      </c>
      <c r="J17" s="4">
        <v>28.8</v>
      </c>
      <c r="K17" s="4">
        <v>44.29</v>
      </c>
      <c r="L17" s="4">
        <v>13.78</v>
      </c>
      <c r="M17" s="4">
        <v>57.31</v>
      </c>
      <c r="N17" s="4">
        <v>4.3499999999999996</v>
      </c>
      <c r="O17" s="4">
        <v>178.57</v>
      </c>
      <c r="P17" s="4">
        <v>57.37</v>
      </c>
      <c r="Q17" s="4">
        <v>42.03</v>
      </c>
      <c r="R17" s="4">
        <v>24.03</v>
      </c>
      <c r="S17" s="4">
        <v>0.13</v>
      </c>
      <c r="T17" s="4">
        <v>-4.49</v>
      </c>
      <c r="U17" s="4">
        <v>-27.43</v>
      </c>
      <c r="V17" s="4">
        <v>0.26500000000000001</v>
      </c>
      <c r="W17" s="4">
        <v>39</v>
      </c>
      <c r="X17" s="4">
        <v>-0.05</v>
      </c>
      <c r="Y17" s="4">
        <v>-0.65</v>
      </c>
      <c r="Z17" s="4">
        <v>-1.1299999999999999</v>
      </c>
      <c r="AA17" s="4">
        <v>-4.6900000000000004</v>
      </c>
      <c r="AB17" s="4">
        <f t="shared" si="0"/>
        <v>5.9483034802440189</v>
      </c>
      <c r="AC17" s="4">
        <f t="shared" si="1"/>
        <v>5.8142790738920178</v>
      </c>
      <c r="AD17" s="4">
        <f t="shared" si="2"/>
        <v>1.1394130985705562</v>
      </c>
      <c r="AE17" s="4">
        <f t="shared" si="3"/>
        <v>1.9279015015363254</v>
      </c>
      <c r="AF17">
        <f t="shared" si="4"/>
        <v>43.780387106117878</v>
      </c>
      <c r="AG17" t="s">
        <v>492</v>
      </c>
      <c r="AH17" t="s">
        <v>500</v>
      </c>
      <c r="AI17" t="s">
        <v>487</v>
      </c>
      <c r="AJ17" t="s">
        <v>488</v>
      </c>
    </row>
    <row r="18" spans="1:36" x14ac:dyDescent="0.3">
      <c r="A18" t="s">
        <v>523</v>
      </c>
      <c r="B18" t="s">
        <v>108</v>
      </c>
      <c r="C18" t="s">
        <v>484</v>
      </c>
      <c r="D18" s="9" t="s">
        <v>524</v>
      </c>
      <c r="E18" t="s">
        <v>47</v>
      </c>
      <c r="F18" t="s">
        <v>75</v>
      </c>
      <c r="G18" s="4">
        <v>6.9</v>
      </c>
      <c r="H18" s="4">
        <v>537.1</v>
      </c>
      <c r="I18" s="4">
        <v>367.7</v>
      </c>
      <c r="J18" s="4">
        <v>27.4</v>
      </c>
      <c r="K18" s="4">
        <v>35.03</v>
      </c>
      <c r="L18" s="4">
        <v>12.06</v>
      </c>
      <c r="M18" s="4">
        <v>29.21</v>
      </c>
      <c r="N18" s="4">
        <v>2.58</v>
      </c>
      <c r="O18" s="4">
        <v>130.66999999999999</v>
      </c>
      <c r="P18" s="4">
        <v>33.200000000000003</v>
      </c>
      <c r="Q18" s="4">
        <v>35.39</v>
      </c>
      <c r="R18" s="4">
        <v>19.22</v>
      </c>
      <c r="S18" s="4">
        <v>0.63</v>
      </c>
      <c r="T18" s="4">
        <v>-4.13</v>
      </c>
      <c r="U18" s="4">
        <v>-28.11</v>
      </c>
      <c r="V18" s="4">
        <v>0.248</v>
      </c>
      <c r="W18" s="4">
        <v>54.8</v>
      </c>
      <c r="X18" s="4">
        <v>-0.22</v>
      </c>
      <c r="Y18" s="4">
        <v>-1.5</v>
      </c>
      <c r="Z18" s="4">
        <v>-1.01</v>
      </c>
      <c r="AA18" s="4">
        <v>-4.5999999999999996</v>
      </c>
      <c r="AB18" s="4">
        <f t="shared" si="0"/>
        <v>4.07707533157906</v>
      </c>
      <c r="AC18" s="4">
        <f t="shared" si="1"/>
        <v>4.1579885350306105</v>
      </c>
      <c r="AD18" s="4">
        <f t="shared" si="2"/>
        <v>-0.98254494151072092</v>
      </c>
      <c r="AE18" s="4">
        <f t="shared" si="3"/>
        <v>1.0854584058780483</v>
      </c>
      <c r="AF18">
        <f t="shared" si="4"/>
        <v>32.783198820499521</v>
      </c>
      <c r="AG18" t="s">
        <v>486</v>
      </c>
      <c r="AH18" t="s">
        <v>48</v>
      </c>
      <c r="AI18" t="s">
        <v>487</v>
      </c>
      <c r="AJ18" t="s">
        <v>488</v>
      </c>
    </row>
    <row r="19" spans="1:36" x14ac:dyDescent="0.3">
      <c r="A19" t="s">
        <v>525</v>
      </c>
      <c r="B19" t="s">
        <v>108</v>
      </c>
      <c r="C19" t="s">
        <v>490</v>
      </c>
      <c r="D19" s="9" t="s">
        <v>526</v>
      </c>
      <c r="E19" t="s">
        <v>47</v>
      </c>
      <c r="F19" t="s">
        <v>75</v>
      </c>
      <c r="G19" s="4">
        <v>7.42</v>
      </c>
      <c r="H19" s="4">
        <v>779.2</v>
      </c>
      <c r="I19" s="4">
        <v>505.8</v>
      </c>
      <c r="J19" s="4">
        <v>30.1</v>
      </c>
      <c r="K19" s="4">
        <v>53.25</v>
      </c>
      <c r="L19" s="4">
        <v>15.59</v>
      </c>
      <c r="M19" s="4">
        <v>40.61</v>
      </c>
      <c r="N19" s="4">
        <v>5.67</v>
      </c>
      <c r="O19" s="4">
        <v>182.92</v>
      </c>
      <c r="P19" s="4">
        <v>54.08</v>
      </c>
      <c r="Q19" s="4">
        <v>51.62</v>
      </c>
      <c r="R19" s="4">
        <v>38.840000000000003</v>
      </c>
      <c r="S19" s="4">
        <v>0.62</v>
      </c>
      <c r="T19" s="4">
        <v>-3.35</v>
      </c>
      <c r="U19" s="4">
        <v>-23.17</v>
      </c>
      <c r="V19" s="4">
        <v>0.183</v>
      </c>
      <c r="W19" s="4">
        <v>52.2</v>
      </c>
      <c r="X19" s="4">
        <v>-0.59</v>
      </c>
      <c r="Y19" s="4">
        <v>-0.65</v>
      </c>
      <c r="Z19" s="4">
        <v>-0.89</v>
      </c>
      <c r="AA19" s="4">
        <v>-5.29</v>
      </c>
      <c r="AB19" s="4">
        <f t="shared" si="0"/>
        <v>5.8516990637147943</v>
      </c>
      <c r="AC19" s="4">
        <f t="shared" si="1"/>
        <v>6.257084086924726</v>
      </c>
      <c r="AD19" s="4">
        <f t="shared" si="2"/>
        <v>-3.3478593031746655</v>
      </c>
      <c r="AE19" s="4">
        <f t="shared" si="3"/>
        <v>1.2585479733584419</v>
      </c>
      <c r="AF19">
        <f t="shared" si="4"/>
        <v>32.666020674304882</v>
      </c>
      <c r="AG19" t="s">
        <v>486</v>
      </c>
      <c r="AH19" t="s">
        <v>48</v>
      </c>
      <c r="AI19" t="s">
        <v>487</v>
      </c>
      <c r="AJ19" t="s">
        <v>488</v>
      </c>
    </row>
    <row r="20" spans="1:36" x14ac:dyDescent="0.3">
      <c r="A20" t="s">
        <v>527</v>
      </c>
      <c r="B20" t="s">
        <v>110</v>
      </c>
      <c r="C20" t="s">
        <v>484</v>
      </c>
      <c r="D20" s="9" t="s">
        <v>524</v>
      </c>
      <c r="E20" t="s">
        <v>47</v>
      </c>
      <c r="F20" t="s">
        <v>75</v>
      </c>
      <c r="G20" s="4">
        <v>7.65</v>
      </c>
      <c r="H20" s="4">
        <v>652</v>
      </c>
      <c r="I20" s="4">
        <v>403.1</v>
      </c>
      <c r="J20" s="4">
        <v>29.3</v>
      </c>
      <c r="K20" s="4">
        <v>37.03</v>
      </c>
      <c r="L20" s="4">
        <v>10.86</v>
      </c>
      <c r="M20" s="4">
        <v>40.270000000000003</v>
      </c>
      <c r="N20" s="4">
        <v>4.0599999999999996</v>
      </c>
      <c r="O20" s="4">
        <v>150.59</v>
      </c>
      <c r="P20" s="4">
        <v>34.54</v>
      </c>
      <c r="Q20" s="4">
        <v>42.68</v>
      </c>
      <c r="R20" s="4">
        <v>23.86</v>
      </c>
      <c r="S20" s="4">
        <v>0.51</v>
      </c>
      <c r="T20" s="4">
        <v>-4.5199999999999996</v>
      </c>
      <c r="U20" s="4">
        <v>-27.9</v>
      </c>
      <c r="V20" s="4">
        <v>0.23300000000000001</v>
      </c>
      <c r="W20" s="4">
        <v>49.1</v>
      </c>
      <c r="X20" s="4">
        <v>-0.48</v>
      </c>
      <c r="Y20" s="4">
        <v>-0.87</v>
      </c>
      <c r="Z20" s="4">
        <v>-1.1299999999999999</v>
      </c>
      <c r="AA20" s="4">
        <v>-4.9000000000000004</v>
      </c>
      <c r="AB20" s="4">
        <f t="shared" si="0"/>
        <v>4.5970888519219129</v>
      </c>
      <c r="AC20" s="4">
        <f t="shared" si="1"/>
        <v>4.742553278005218</v>
      </c>
      <c r="AD20" s="4">
        <f t="shared" si="2"/>
        <v>-1.5574946455088643</v>
      </c>
      <c r="AE20" s="4">
        <f t="shared" si="3"/>
        <v>1.4961642141192131</v>
      </c>
      <c r="AF20">
        <f t="shared" si="4"/>
        <v>40.363565438685974</v>
      </c>
      <c r="AG20" t="s">
        <v>492</v>
      </c>
      <c r="AH20" t="s">
        <v>500</v>
      </c>
      <c r="AI20" t="s">
        <v>487</v>
      </c>
      <c r="AJ20" t="s">
        <v>488</v>
      </c>
    </row>
    <row r="21" spans="1:36" x14ac:dyDescent="0.3">
      <c r="A21" t="s">
        <v>528</v>
      </c>
      <c r="B21" t="s">
        <v>110</v>
      </c>
      <c r="C21" t="s">
        <v>490</v>
      </c>
      <c r="D21" s="9" t="s">
        <v>529</v>
      </c>
      <c r="E21" t="s">
        <v>47</v>
      </c>
      <c r="F21" t="s">
        <v>75</v>
      </c>
      <c r="G21" s="4">
        <v>7.28</v>
      </c>
      <c r="H21" s="4">
        <v>836.6</v>
      </c>
      <c r="I21" s="4">
        <v>563.9</v>
      </c>
      <c r="J21" s="4">
        <v>29.1</v>
      </c>
      <c r="K21" s="4">
        <v>65.88</v>
      </c>
      <c r="L21" s="4">
        <v>14.81</v>
      </c>
      <c r="M21" s="4">
        <v>57.34</v>
      </c>
      <c r="N21" s="4">
        <v>5.25</v>
      </c>
      <c r="O21" s="4">
        <v>200.91</v>
      </c>
      <c r="P21" s="4">
        <v>64.73</v>
      </c>
      <c r="Q21" s="4">
        <v>66.34</v>
      </c>
      <c r="R21" s="4">
        <v>24.41</v>
      </c>
      <c r="S21" s="4">
        <v>1.04</v>
      </c>
      <c r="T21" s="4">
        <v>-4.12</v>
      </c>
      <c r="U21" s="4">
        <v>-25.56</v>
      </c>
      <c r="V21" s="4">
        <v>0.22600000000000001</v>
      </c>
      <c r="W21" s="4">
        <v>49.6</v>
      </c>
      <c r="X21" s="4">
        <v>-0.12</v>
      </c>
      <c r="Y21" s="4">
        <v>-0.18</v>
      </c>
      <c r="Z21" s="4">
        <v>-0.88</v>
      </c>
      <c r="AA21" s="4">
        <v>-5.13</v>
      </c>
      <c r="AB21" s="4">
        <f t="shared" si="0"/>
        <v>7.1347828272563349</v>
      </c>
      <c r="AC21" s="4">
        <f t="shared" si="1"/>
        <v>6.9481816612631677</v>
      </c>
      <c r="AD21" s="4">
        <f t="shared" si="2"/>
        <v>1.3250133957611365</v>
      </c>
      <c r="AE21" s="4">
        <f t="shared" si="3"/>
        <v>1.6616673035076137</v>
      </c>
      <c r="AF21">
        <f t="shared" si="4"/>
        <v>36.840845835685599</v>
      </c>
      <c r="AG21" t="s">
        <v>486</v>
      </c>
      <c r="AH21" t="s">
        <v>48</v>
      </c>
      <c r="AI21" t="s">
        <v>487</v>
      </c>
      <c r="AJ21" t="s">
        <v>488</v>
      </c>
    </row>
    <row r="22" spans="1:36" x14ac:dyDescent="0.3">
      <c r="A22" t="s">
        <v>530</v>
      </c>
      <c r="B22" t="s">
        <v>112</v>
      </c>
      <c r="C22" t="s">
        <v>484</v>
      </c>
      <c r="D22" s="9" t="s">
        <v>504</v>
      </c>
      <c r="E22" t="s">
        <v>47</v>
      </c>
      <c r="F22" t="s">
        <v>75</v>
      </c>
      <c r="G22" s="4">
        <v>7.19</v>
      </c>
      <c r="H22" s="4">
        <v>562.6</v>
      </c>
      <c r="I22" s="4">
        <v>376.9</v>
      </c>
      <c r="J22" s="4">
        <v>28</v>
      </c>
      <c r="K22" s="4">
        <v>32.630000000000003</v>
      </c>
      <c r="L22" s="4">
        <v>13.59</v>
      </c>
      <c r="M22" s="4">
        <v>38.58</v>
      </c>
      <c r="N22" s="4">
        <v>4.68</v>
      </c>
      <c r="O22" s="4">
        <v>135.09</v>
      </c>
      <c r="P22" s="4">
        <v>44.35</v>
      </c>
      <c r="Q22" s="4">
        <v>35.57</v>
      </c>
      <c r="R22" s="4">
        <v>11.75</v>
      </c>
      <c r="S22" s="4">
        <v>0.66</v>
      </c>
      <c r="T22" s="4">
        <v>-3.68</v>
      </c>
      <c r="U22" s="4">
        <v>-22.96</v>
      </c>
      <c r="V22" s="4">
        <v>0.29699999999999999</v>
      </c>
      <c r="W22" s="4">
        <v>52.3</v>
      </c>
      <c r="X22" s="4">
        <v>-0.09</v>
      </c>
      <c r="Y22" s="4">
        <v>-0.69</v>
      </c>
      <c r="Z22" s="4">
        <v>-1.2</v>
      </c>
      <c r="AA22" s="4">
        <v>-5.39</v>
      </c>
      <c r="AB22" s="4">
        <f t="shared" si="0"/>
        <v>4.5445063209079253</v>
      </c>
      <c r="AC22" s="4">
        <f t="shared" si="1"/>
        <v>4.4297818609614366</v>
      </c>
      <c r="AD22" s="4">
        <f t="shared" si="2"/>
        <v>1.2783683521358837</v>
      </c>
      <c r="AE22" s="4">
        <f t="shared" si="3"/>
        <v>1.4320506891448741</v>
      </c>
      <c r="AF22">
        <f t="shared" si="4"/>
        <v>39.561901980649544</v>
      </c>
      <c r="AG22" t="s">
        <v>492</v>
      </c>
      <c r="AH22" t="s">
        <v>48</v>
      </c>
      <c r="AI22" t="s">
        <v>487</v>
      </c>
      <c r="AJ22" t="s">
        <v>488</v>
      </c>
    </row>
    <row r="23" spans="1:36" x14ac:dyDescent="0.3">
      <c r="A23" t="s">
        <v>531</v>
      </c>
      <c r="B23" t="s">
        <v>112</v>
      </c>
      <c r="C23" t="s">
        <v>490</v>
      </c>
      <c r="D23" s="9" t="s">
        <v>532</v>
      </c>
      <c r="E23" t="s">
        <v>47</v>
      </c>
      <c r="F23" t="s">
        <v>75</v>
      </c>
      <c r="G23" s="4">
        <v>7.28</v>
      </c>
      <c r="H23" s="4">
        <v>704.9</v>
      </c>
      <c r="I23" s="4">
        <v>502.9</v>
      </c>
      <c r="J23" s="4">
        <v>29.5</v>
      </c>
      <c r="K23" s="4">
        <v>43.23</v>
      </c>
      <c r="L23" s="4">
        <v>15.77</v>
      </c>
      <c r="M23" s="4">
        <v>52.04</v>
      </c>
      <c r="N23" s="4">
        <v>7.48</v>
      </c>
      <c r="O23" s="4">
        <v>192.8</v>
      </c>
      <c r="P23" s="4">
        <v>54.07</v>
      </c>
      <c r="Q23" s="4">
        <v>52.27</v>
      </c>
      <c r="R23" s="4">
        <v>20.11</v>
      </c>
      <c r="S23" s="4">
        <v>0.76</v>
      </c>
      <c r="T23" s="4">
        <v>-3.68</v>
      </c>
      <c r="U23" s="4">
        <v>-21.66</v>
      </c>
      <c r="V23" s="4">
        <v>0.192</v>
      </c>
      <c r="W23" s="4">
        <v>54.2</v>
      </c>
      <c r="X23" s="4">
        <v>0.18</v>
      </c>
      <c r="Y23" s="4">
        <v>-0.08</v>
      </c>
      <c r="Z23" s="4">
        <v>-0.6</v>
      </c>
      <c r="AA23" s="4">
        <v>-4.74</v>
      </c>
      <c r="AB23" s="4">
        <f t="shared" si="0"/>
        <v>5.9099741178965139</v>
      </c>
      <c r="AC23" s="4">
        <f t="shared" si="1"/>
        <v>6.1375562688779794</v>
      </c>
      <c r="AD23" s="4">
        <f t="shared" si="2"/>
        <v>-1.8890357083581217</v>
      </c>
      <c r="AE23" s="4">
        <f t="shared" si="3"/>
        <v>1.7223053463876932</v>
      </c>
      <c r="AF23">
        <f t="shared" si="4"/>
        <v>41.540037492168572</v>
      </c>
      <c r="AG23" t="s">
        <v>492</v>
      </c>
      <c r="AH23" t="s">
        <v>48</v>
      </c>
      <c r="AI23" t="s">
        <v>487</v>
      </c>
      <c r="AJ23" t="s">
        <v>488</v>
      </c>
    </row>
    <row r="24" spans="1:36" x14ac:dyDescent="0.3">
      <c r="A24" t="s">
        <v>533</v>
      </c>
      <c r="B24" t="s">
        <v>114</v>
      </c>
      <c r="C24" t="s">
        <v>484</v>
      </c>
      <c r="D24" s="9" t="s">
        <v>512</v>
      </c>
      <c r="E24" t="s">
        <v>47</v>
      </c>
      <c r="F24" t="s">
        <v>101</v>
      </c>
      <c r="G24" s="4">
        <v>7.1</v>
      </c>
      <c r="H24" s="4">
        <v>649.5</v>
      </c>
      <c r="I24" s="4">
        <v>402.2</v>
      </c>
      <c r="J24" s="4">
        <v>27.4</v>
      </c>
      <c r="K24" s="4">
        <v>37.659999999999997</v>
      </c>
      <c r="L24" s="4">
        <v>13.02</v>
      </c>
      <c r="M24" s="4">
        <v>36.119999999999997</v>
      </c>
      <c r="N24" s="4">
        <v>4.4400000000000004</v>
      </c>
      <c r="O24" s="4">
        <v>139.05000000000001</v>
      </c>
      <c r="P24" s="4">
        <v>47.36</v>
      </c>
      <c r="Q24" s="4">
        <v>33.03</v>
      </c>
      <c r="R24" s="4">
        <v>20.149999999999999</v>
      </c>
      <c r="S24" s="4">
        <v>0.86</v>
      </c>
      <c r="T24" s="4">
        <v>-4.1100000000000003</v>
      </c>
      <c r="U24" s="4">
        <v>-25.8</v>
      </c>
      <c r="V24" s="4">
        <v>0.184</v>
      </c>
      <c r="W24" s="4">
        <v>56</v>
      </c>
      <c r="X24" s="4">
        <v>-0.32</v>
      </c>
      <c r="Y24" s="4">
        <v>-0.68</v>
      </c>
      <c r="Z24" s="4">
        <v>-1.07</v>
      </c>
      <c r="AA24" s="4">
        <v>-5.18</v>
      </c>
      <c r="AB24" s="4">
        <f t="shared" si="0"/>
        <v>4.6354668004057009</v>
      </c>
      <c r="AC24" s="4">
        <f t="shared" si="1"/>
        <v>4.672700980998278</v>
      </c>
      <c r="AD24" s="4">
        <f t="shared" si="2"/>
        <v>-0.40001621658522535</v>
      </c>
      <c r="AE24" s="4">
        <f t="shared" si="3"/>
        <v>1.2935364614106057</v>
      </c>
      <c r="AF24">
        <f t="shared" si="4"/>
        <v>36.344711071978161</v>
      </c>
      <c r="AG24" t="s">
        <v>497</v>
      </c>
      <c r="AH24" t="s">
        <v>48</v>
      </c>
      <c r="AI24" t="s">
        <v>487</v>
      </c>
      <c r="AJ24" t="s">
        <v>488</v>
      </c>
    </row>
    <row r="25" spans="1:36" x14ac:dyDescent="0.3">
      <c r="A25" t="s">
        <v>534</v>
      </c>
      <c r="B25" t="s">
        <v>114</v>
      </c>
      <c r="C25" t="s">
        <v>490</v>
      </c>
      <c r="D25" s="9" t="s">
        <v>535</v>
      </c>
      <c r="E25" t="s">
        <v>47</v>
      </c>
      <c r="F25" t="s">
        <v>101</v>
      </c>
      <c r="G25" s="4">
        <v>6.93</v>
      </c>
      <c r="H25" s="4">
        <v>670</v>
      </c>
      <c r="I25" s="4">
        <v>472.3</v>
      </c>
      <c r="J25" s="4">
        <v>29.4</v>
      </c>
      <c r="K25" s="4">
        <v>48.02</v>
      </c>
      <c r="L25" s="4">
        <v>12.94</v>
      </c>
      <c r="M25" s="4">
        <v>49.37</v>
      </c>
      <c r="N25" s="4">
        <v>6.51</v>
      </c>
      <c r="O25" s="4">
        <v>171.51</v>
      </c>
      <c r="P25" s="4">
        <v>55.81</v>
      </c>
      <c r="Q25" s="4">
        <v>48.94</v>
      </c>
      <c r="R25" s="4">
        <v>12.36</v>
      </c>
      <c r="S25" s="4">
        <v>1.0900000000000001</v>
      </c>
      <c r="T25" s="4">
        <v>-3.69</v>
      </c>
      <c r="U25" s="4">
        <v>-20.97</v>
      </c>
      <c r="V25" s="4">
        <v>0.127</v>
      </c>
      <c r="W25" s="4">
        <v>66.7</v>
      </c>
      <c r="X25" s="4">
        <v>-0.28000000000000003</v>
      </c>
      <c r="Y25" s="4">
        <v>-0.39</v>
      </c>
      <c r="Z25" s="4">
        <v>-0.95</v>
      </c>
      <c r="AA25" s="4">
        <v>-4.7</v>
      </c>
      <c r="AB25" s="4">
        <f t="shared" si="0"/>
        <v>5.7751821514572708</v>
      </c>
      <c r="AC25" s="4">
        <f t="shared" si="1"/>
        <v>5.6607589191777929</v>
      </c>
      <c r="AD25" s="4">
        <f t="shared" si="2"/>
        <v>1.0005580788912165</v>
      </c>
      <c r="AE25" s="4">
        <f t="shared" si="3"/>
        <v>1.6324849044347545</v>
      </c>
      <c r="AF25">
        <f t="shared" si="4"/>
        <v>40.068926789826207</v>
      </c>
      <c r="AG25" t="s">
        <v>497</v>
      </c>
      <c r="AH25" t="s">
        <v>48</v>
      </c>
      <c r="AI25" t="s">
        <v>487</v>
      </c>
      <c r="AJ25" t="s">
        <v>488</v>
      </c>
    </row>
    <row r="26" spans="1:36" x14ac:dyDescent="0.3">
      <c r="A26" t="s">
        <v>536</v>
      </c>
      <c r="B26" t="s">
        <v>117</v>
      </c>
      <c r="C26" t="s">
        <v>484</v>
      </c>
      <c r="D26" s="9" t="s">
        <v>485</v>
      </c>
      <c r="E26" t="s">
        <v>47</v>
      </c>
      <c r="F26" t="s">
        <v>75</v>
      </c>
      <c r="G26" s="4">
        <v>7.5</v>
      </c>
      <c r="H26" s="4">
        <v>644.4</v>
      </c>
      <c r="I26" s="4">
        <v>402.6</v>
      </c>
      <c r="J26" s="4">
        <v>28.9</v>
      </c>
      <c r="K26" s="4">
        <v>40.909999999999997</v>
      </c>
      <c r="L26" s="4">
        <v>13.96</v>
      </c>
      <c r="M26" s="4">
        <v>34.42</v>
      </c>
      <c r="N26" s="4">
        <v>4.1900000000000004</v>
      </c>
      <c r="O26" s="4">
        <v>128.94</v>
      </c>
      <c r="P26" s="4">
        <v>57.71</v>
      </c>
      <c r="Q26" s="4">
        <v>35.75</v>
      </c>
      <c r="R26" s="4">
        <v>22.85</v>
      </c>
      <c r="S26" s="4">
        <v>0.61</v>
      </c>
      <c r="T26" s="4">
        <v>-4.29</v>
      </c>
      <c r="U26" s="4">
        <v>-28.19</v>
      </c>
      <c r="V26" s="4">
        <v>0.29199999999999998</v>
      </c>
      <c r="W26" s="4">
        <v>52.2</v>
      </c>
      <c r="X26" s="4">
        <v>-0.28000000000000003</v>
      </c>
      <c r="Y26" s="4">
        <v>-0.04</v>
      </c>
      <c r="Z26" s="4">
        <v>-0.65</v>
      </c>
      <c r="AA26" s="4">
        <v>-4.96</v>
      </c>
      <c r="AB26" s="4">
        <f t="shared" si="0"/>
        <v>4.7946582824754547</v>
      </c>
      <c r="AC26" s="4">
        <f t="shared" si="1"/>
        <v>4.8859594770342181</v>
      </c>
      <c r="AD26" s="4">
        <f t="shared" si="2"/>
        <v>-0.94313396961753238</v>
      </c>
      <c r="AE26" s="4">
        <f t="shared" si="3"/>
        <v>1.1854770799348464</v>
      </c>
      <c r="AF26">
        <f t="shared" si="4"/>
        <v>33.462330824258927</v>
      </c>
      <c r="AG26" t="s">
        <v>486</v>
      </c>
      <c r="AH26" t="s">
        <v>48</v>
      </c>
      <c r="AI26" t="s">
        <v>487</v>
      </c>
      <c r="AJ26" t="s">
        <v>488</v>
      </c>
    </row>
    <row r="27" spans="1:36" x14ac:dyDescent="0.3">
      <c r="A27" t="s">
        <v>537</v>
      </c>
      <c r="B27" t="s">
        <v>117</v>
      </c>
      <c r="C27" t="s">
        <v>490</v>
      </c>
      <c r="D27" s="9" t="s">
        <v>532</v>
      </c>
      <c r="E27" t="s">
        <v>47</v>
      </c>
      <c r="F27" t="s">
        <v>75</v>
      </c>
      <c r="G27" s="4">
        <v>7.28</v>
      </c>
      <c r="H27" s="4">
        <v>806.5</v>
      </c>
      <c r="I27" s="4">
        <v>485.5</v>
      </c>
      <c r="J27" s="4">
        <v>29.1</v>
      </c>
      <c r="K27" s="4">
        <v>40.119999999999997</v>
      </c>
      <c r="L27" s="4">
        <v>15.9</v>
      </c>
      <c r="M27" s="4">
        <v>51.74</v>
      </c>
      <c r="N27" s="4">
        <v>5.55</v>
      </c>
      <c r="O27" s="4">
        <v>175.58</v>
      </c>
      <c r="P27" s="4">
        <v>58.63</v>
      </c>
      <c r="Q27" s="4">
        <v>49.47</v>
      </c>
      <c r="R27" s="4">
        <v>15.79</v>
      </c>
      <c r="S27" s="4">
        <v>0.43</v>
      </c>
      <c r="T27" s="4">
        <v>-3.28</v>
      </c>
      <c r="U27" s="4">
        <v>-21.52</v>
      </c>
      <c r="V27" s="4">
        <v>0.23100000000000001</v>
      </c>
      <c r="W27" s="4">
        <v>48.5</v>
      </c>
      <c r="X27" s="4">
        <v>-0.2</v>
      </c>
      <c r="Y27" s="4">
        <v>-0.63</v>
      </c>
      <c r="Z27" s="4">
        <v>-0.95</v>
      </c>
      <c r="AA27" s="4">
        <v>-4.99</v>
      </c>
      <c r="AB27" s="4">
        <f t="shared" si="0"/>
        <v>5.7030612819168773</v>
      </c>
      <c r="AC27" s="4">
        <f t="shared" si="1"/>
        <v>5.8386171429789933</v>
      </c>
      <c r="AD27" s="4">
        <f t="shared" si="2"/>
        <v>-1.1744900184510114</v>
      </c>
      <c r="AE27" s="4">
        <f t="shared" si="3"/>
        <v>1.7493495615892209</v>
      </c>
      <c r="AF27">
        <f t="shared" si="4"/>
        <v>41.952777427230764</v>
      </c>
      <c r="AG27" t="s">
        <v>492</v>
      </c>
      <c r="AH27" t="s">
        <v>48</v>
      </c>
      <c r="AI27" t="s">
        <v>487</v>
      </c>
      <c r="AJ27" t="s">
        <v>488</v>
      </c>
    </row>
    <row r="28" spans="1:36" x14ac:dyDescent="0.3">
      <c r="A28" t="s">
        <v>538</v>
      </c>
      <c r="B28" t="s">
        <v>119</v>
      </c>
      <c r="C28" t="s">
        <v>484</v>
      </c>
      <c r="D28" s="9" t="s">
        <v>539</v>
      </c>
      <c r="E28" t="s">
        <v>47</v>
      </c>
      <c r="F28" t="s">
        <v>75</v>
      </c>
      <c r="G28" s="4">
        <v>7.11</v>
      </c>
      <c r="H28" s="4">
        <v>648.70000000000005</v>
      </c>
      <c r="I28" s="4">
        <v>405.5</v>
      </c>
      <c r="J28" s="4">
        <v>29</v>
      </c>
      <c r="K28" s="4">
        <v>29.6</v>
      </c>
      <c r="L28" s="4">
        <v>12.61</v>
      </c>
      <c r="M28" s="4">
        <v>32.47</v>
      </c>
      <c r="N28" s="4">
        <v>3.45</v>
      </c>
      <c r="O28" s="4">
        <v>113.74</v>
      </c>
      <c r="P28" s="4">
        <v>30.66</v>
      </c>
      <c r="Q28" s="4">
        <v>39.78</v>
      </c>
      <c r="R28" s="4">
        <v>92.43</v>
      </c>
      <c r="S28" s="4">
        <v>0.26</v>
      </c>
      <c r="T28" s="4">
        <v>-3.57</v>
      </c>
      <c r="U28" s="4">
        <v>-21.33</v>
      </c>
      <c r="V28" s="4">
        <v>0.188</v>
      </c>
      <c r="W28" s="4">
        <v>34.799999999999997</v>
      </c>
      <c r="X28" s="4">
        <v>-0.28999999999999998</v>
      </c>
      <c r="Y28" s="4">
        <v>-0.73</v>
      </c>
      <c r="Z28" s="4">
        <v>-1.24</v>
      </c>
      <c r="AA28" s="4">
        <v>-5.04</v>
      </c>
      <c r="AB28" s="4">
        <f t="shared" si="0"/>
        <v>4.0154206322743793</v>
      </c>
      <c r="AC28" s="4">
        <f t="shared" si="1"/>
        <v>5.0615147918568724</v>
      </c>
      <c r="AD28" s="4">
        <f t="shared" si="2"/>
        <v>-11.524750487939206</v>
      </c>
      <c r="AE28" s="4">
        <f t="shared" si="3"/>
        <v>1.2595876669093284</v>
      </c>
      <c r="AF28">
        <f t="shared" si="4"/>
        <v>37.372284952826909</v>
      </c>
      <c r="AG28" t="s">
        <v>492</v>
      </c>
      <c r="AH28" t="s">
        <v>506</v>
      </c>
      <c r="AI28" t="s">
        <v>516</v>
      </c>
      <c r="AJ28" t="s">
        <v>517</v>
      </c>
    </row>
    <row r="29" spans="1:36" x14ac:dyDescent="0.3">
      <c r="A29" t="s">
        <v>540</v>
      </c>
      <c r="B29" t="s">
        <v>119</v>
      </c>
      <c r="C29" t="s">
        <v>490</v>
      </c>
      <c r="D29" s="9" t="s">
        <v>541</v>
      </c>
      <c r="E29" t="s">
        <v>47</v>
      </c>
      <c r="F29" t="s">
        <v>75</v>
      </c>
      <c r="G29" s="4">
        <v>7.26</v>
      </c>
      <c r="H29" s="4">
        <v>734</v>
      </c>
      <c r="I29" s="4">
        <v>514.20000000000005</v>
      </c>
      <c r="J29" s="4">
        <v>28.8</v>
      </c>
      <c r="K29" s="4">
        <v>39.9</v>
      </c>
      <c r="L29" s="4">
        <v>14.43</v>
      </c>
      <c r="M29" s="4">
        <v>57.22</v>
      </c>
      <c r="N29" s="4">
        <v>6.56</v>
      </c>
      <c r="O29" s="4">
        <v>160.27000000000001</v>
      </c>
      <c r="P29" s="4">
        <v>61.21</v>
      </c>
      <c r="Q29" s="4">
        <v>55.41</v>
      </c>
      <c r="R29" s="4">
        <v>58.07</v>
      </c>
      <c r="S29" s="4">
        <v>0.62</v>
      </c>
      <c r="T29" s="4">
        <v>-3.57</v>
      </c>
      <c r="U29" s="4">
        <v>-21.11</v>
      </c>
      <c r="V29" s="4">
        <v>0.22600000000000001</v>
      </c>
      <c r="W29" s="4">
        <v>50.4</v>
      </c>
      <c r="X29" s="4">
        <v>-0.26</v>
      </c>
      <c r="Y29" s="4">
        <v>-0.83</v>
      </c>
      <c r="Z29" s="4">
        <v>-1.1100000000000001</v>
      </c>
      <c r="AA29" s="4">
        <v>-4.4400000000000004</v>
      </c>
      <c r="AB29" s="4">
        <f t="shared" si="0"/>
        <v>5.8353273236505059</v>
      </c>
      <c r="AC29" s="4">
        <f t="shared" si="1"/>
        <v>6.4760271043550306</v>
      </c>
      <c r="AD29" s="4">
        <f t="shared" si="2"/>
        <v>-5.204137241367027</v>
      </c>
      <c r="AE29" s="4">
        <f t="shared" si="3"/>
        <v>1.9743756979399365</v>
      </c>
      <c r="AF29">
        <f t="shared" si="4"/>
        <v>45.529579698401939</v>
      </c>
      <c r="AG29" t="s">
        <v>521</v>
      </c>
      <c r="AH29" t="s">
        <v>506</v>
      </c>
      <c r="AI29" t="s">
        <v>542</v>
      </c>
      <c r="AJ29" t="s">
        <v>543</v>
      </c>
    </row>
    <row r="30" spans="1:36" x14ac:dyDescent="0.3">
      <c r="A30" t="s">
        <v>544</v>
      </c>
      <c r="B30" t="s">
        <v>123</v>
      </c>
      <c r="C30" t="s">
        <v>484</v>
      </c>
      <c r="D30" s="9" t="s">
        <v>515</v>
      </c>
      <c r="E30" t="s">
        <v>47</v>
      </c>
      <c r="F30" t="s">
        <v>75</v>
      </c>
      <c r="G30" s="4">
        <v>7.43</v>
      </c>
      <c r="H30" s="4">
        <v>550.20000000000005</v>
      </c>
      <c r="I30" s="4">
        <v>385.5</v>
      </c>
      <c r="J30" s="4">
        <v>29.2</v>
      </c>
      <c r="K30" s="4">
        <v>30.52</v>
      </c>
      <c r="L30" s="4">
        <v>15.89</v>
      </c>
      <c r="M30" s="4">
        <v>33.24</v>
      </c>
      <c r="N30" s="4">
        <v>4.8899999999999997</v>
      </c>
      <c r="O30" s="4">
        <v>120.83</v>
      </c>
      <c r="P30" s="4">
        <v>40.43</v>
      </c>
      <c r="Q30" s="4">
        <v>32.4</v>
      </c>
      <c r="R30" s="4">
        <v>44.06</v>
      </c>
      <c r="S30" s="4">
        <v>0.63</v>
      </c>
      <c r="T30" s="4">
        <v>-3.9</v>
      </c>
      <c r="U30" s="4">
        <v>-24.15</v>
      </c>
      <c r="V30" s="4">
        <v>0.24099999999999999</v>
      </c>
      <c r="W30" s="4">
        <v>47.4</v>
      </c>
      <c r="X30" s="4">
        <v>-0.16</v>
      </c>
      <c r="Y30" s="4">
        <v>-0.03</v>
      </c>
      <c r="Z30" s="4">
        <v>-0.86</v>
      </c>
      <c r="AA30" s="4">
        <v>-5.19</v>
      </c>
      <c r="AB30" s="4">
        <f t="shared" si="0"/>
        <v>4.4015592272134221</v>
      </c>
      <c r="AC30" s="4">
        <f t="shared" si="1"/>
        <v>4.5390120672058547</v>
      </c>
      <c r="AD30" s="4">
        <f t="shared" si="2"/>
        <v>-1.537405557944949</v>
      </c>
      <c r="AE30" s="4">
        <f t="shared" si="3"/>
        <v>1.2153971607319982</v>
      </c>
      <c r="AF30">
        <f t="shared" si="4"/>
        <v>35.691425877540965</v>
      </c>
      <c r="AG30" t="s">
        <v>492</v>
      </c>
      <c r="AH30" t="s">
        <v>48</v>
      </c>
      <c r="AI30" t="s">
        <v>487</v>
      </c>
      <c r="AJ30" t="s">
        <v>488</v>
      </c>
    </row>
    <row r="31" spans="1:36" x14ac:dyDescent="0.3">
      <c r="A31" t="s">
        <v>545</v>
      </c>
      <c r="B31" t="s">
        <v>123</v>
      </c>
      <c r="C31" t="s">
        <v>490</v>
      </c>
      <c r="D31" s="9" t="s">
        <v>546</v>
      </c>
      <c r="E31" t="s">
        <v>47</v>
      </c>
      <c r="F31" t="s">
        <v>75</v>
      </c>
      <c r="G31" s="4">
        <v>7.1</v>
      </c>
      <c r="H31" s="4">
        <v>759.7</v>
      </c>
      <c r="I31" s="4">
        <v>510.4</v>
      </c>
      <c r="J31" s="4">
        <v>29.4</v>
      </c>
      <c r="K31" s="4">
        <v>41.52</v>
      </c>
      <c r="L31" s="4">
        <v>14.31</v>
      </c>
      <c r="M31" s="4">
        <v>54.59</v>
      </c>
      <c r="N31" s="4">
        <v>7.2</v>
      </c>
      <c r="O31" s="4">
        <v>184.53</v>
      </c>
      <c r="P31" s="4">
        <v>63.38</v>
      </c>
      <c r="Q31" s="4">
        <v>50.64</v>
      </c>
      <c r="R31" s="4">
        <v>36.79</v>
      </c>
      <c r="S31" s="4">
        <v>0.49</v>
      </c>
      <c r="T31" s="4">
        <v>-3.59</v>
      </c>
      <c r="U31" s="4">
        <v>-22.69</v>
      </c>
      <c r="V31" s="4">
        <v>0.23200000000000001</v>
      </c>
      <c r="W31" s="4">
        <v>55.9</v>
      </c>
      <c r="X31" s="4">
        <v>0.17</v>
      </c>
      <c r="Y31" s="4">
        <v>-0.32</v>
      </c>
      <c r="Z31" s="4">
        <v>-0.86</v>
      </c>
      <c r="AA31" s="4">
        <v>-4.71</v>
      </c>
      <c r="AB31" s="4">
        <f t="shared" si="0"/>
        <v>5.8082617530311289</v>
      </c>
      <c r="AC31" s="4">
        <f t="shared" si="1"/>
        <v>6.4854810922709705</v>
      </c>
      <c r="AD31" s="4">
        <f t="shared" si="2"/>
        <v>-5.5086506018680268</v>
      </c>
      <c r="AE31" s="4">
        <f t="shared" si="3"/>
        <v>1.8629451327741982</v>
      </c>
      <c r="AF31">
        <f t="shared" si="4"/>
        <v>44.053913144388048</v>
      </c>
      <c r="AG31" t="s">
        <v>492</v>
      </c>
      <c r="AH31" t="s">
        <v>48</v>
      </c>
      <c r="AI31" t="s">
        <v>542</v>
      </c>
      <c r="AJ31" t="s">
        <v>543</v>
      </c>
    </row>
    <row r="32" spans="1:36" x14ac:dyDescent="0.3">
      <c r="A32" t="s">
        <v>547</v>
      </c>
      <c r="B32" t="s">
        <v>125</v>
      </c>
      <c r="C32" t="s">
        <v>484</v>
      </c>
      <c r="D32" s="9" t="s">
        <v>548</v>
      </c>
      <c r="E32" t="s">
        <v>47</v>
      </c>
      <c r="F32" t="s">
        <v>75</v>
      </c>
      <c r="G32" s="4">
        <v>7.19</v>
      </c>
      <c r="H32" s="4">
        <v>494.6</v>
      </c>
      <c r="I32" s="4">
        <v>352.3</v>
      </c>
      <c r="J32" s="4">
        <v>28.6</v>
      </c>
      <c r="K32" s="4">
        <v>28.98</v>
      </c>
      <c r="L32" s="4">
        <v>11.97</v>
      </c>
      <c r="M32" s="4">
        <v>26.23</v>
      </c>
      <c r="N32" s="4">
        <v>4.1900000000000004</v>
      </c>
      <c r="O32" s="4">
        <v>114.05</v>
      </c>
      <c r="P32" s="4">
        <v>27.66</v>
      </c>
      <c r="Q32" s="4">
        <v>32.75</v>
      </c>
      <c r="R32" s="4">
        <v>42.35</v>
      </c>
      <c r="S32" s="4">
        <v>0.42</v>
      </c>
      <c r="T32" s="4">
        <v>-4.2300000000000004</v>
      </c>
      <c r="U32" s="4">
        <v>-31.03</v>
      </c>
      <c r="V32" s="4">
        <v>0.215</v>
      </c>
      <c r="W32" s="4">
        <v>50.7</v>
      </c>
      <c r="X32" s="4">
        <v>-0.35</v>
      </c>
      <c r="Y32" s="4">
        <v>-0.49</v>
      </c>
      <c r="Z32" s="4">
        <v>-1.34</v>
      </c>
      <c r="AA32" s="4">
        <v>-5.28</v>
      </c>
      <c r="AB32" s="4">
        <f t="shared" si="0"/>
        <v>3.6793095388927757</v>
      </c>
      <c r="AC32" s="4">
        <f t="shared" si="1"/>
        <v>4.0363533355477594</v>
      </c>
      <c r="AD32" s="4">
        <f t="shared" si="2"/>
        <v>-4.6275194039095853</v>
      </c>
      <c r="AE32" s="4">
        <f t="shared" si="3"/>
        <v>1.0348710008659854</v>
      </c>
      <c r="AF32">
        <f t="shared" si="4"/>
        <v>33.923404995250714</v>
      </c>
      <c r="AG32" t="s">
        <v>497</v>
      </c>
      <c r="AH32" t="s">
        <v>48</v>
      </c>
      <c r="AI32" t="s">
        <v>487</v>
      </c>
      <c r="AJ32" t="s">
        <v>488</v>
      </c>
    </row>
    <row r="33" spans="1:36" x14ac:dyDescent="0.3">
      <c r="A33" t="s">
        <v>549</v>
      </c>
      <c r="B33" t="s">
        <v>125</v>
      </c>
      <c r="C33" t="s">
        <v>490</v>
      </c>
      <c r="D33" s="9" t="s">
        <v>541</v>
      </c>
      <c r="E33" t="s">
        <v>47</v>
      </c>
      <c r="F33" t="s">
        <v>75</v>
      </c>
      <c r="G33" s="4">
        <v>7.35</v>
      </c>
      <c r="H33" s="4">
        <v>968.8</v>
      </c>
      <c r="I33" s="4">
        <v>569.9</v>
      </c>
      <c r="J33" s="4">
        <v>29</v>
      </c>
      <c r="K33" s="4">
        <v>54.01</v>
      </c>
      <c r="L33" s="4">
        <v>17.88</v>
      </c>
      <c r="M33" s="4">
        <v>64.59</v>
      </c>
      <c r="N33" s="4">
        <v>6.13</v>
      </c>
      <c r="O33" s="4">
        <v>206.95</v>
      </c>
      <c r="P33" s="4">
        <v>73.180000000000007</v>
      </c>
      <c r="Q33" s="4">
        <v>67.17</v>
      </c>
      <c r="R33" s="4">
        <v>36.01</v>
      </c>
      <c r="S33" s="4">
        <v>0.32</v>
      </c>
      <c r="T33" s="4">
        <v>-3.83</v>
      </c>
      <c r="U33" s="4">
        <v>-23.76</v>
      </c>
      <c r="V33" s="4">
        <v>0.254</v>
      </c>
      <c r="W33" s="4">
        <v>47.4</v>
      </c>
      <c r="X33" s="4">
        <v>-0.23</v>
      </c>
      <c r="Y33" s="4">
        <v>-0.45</v>
      </c>
      <c r="Z33" s="4">
        <v>-0.81</v>
      </c>
      <c r="AA33" s="4">
        <v>-4.9000000000000004</v>
      </c>
      <c r="AB33" s="4">
        <f t="shared" si="0"/>
        <v>7.1329365816862502</v>
      </c>
      <c r="AC33" s="4">
        <f t="shared" si="1"/>
        <v>7.4519799413034367</v>
      </c>
      <c r="AD33" s="4">
        <f t="shared" si="2"/>
        <v>-2.1874884173268301</v>
      </c>
      <c r="AE33" s="4">
        <f t="shared" si="3"/>
        <v>1.9465792377968512</v>
      </c>
      <c r="AF33">
        <f t="shared" si="4"/>
        <v>41.587221095486946</v>
      </c>
      <c r="AG33" t="s">
        <v>492</v>
      </c>
      <c r="AH33" t="s">
        <v>48</v>
      </c>
      <c r="AI33" t="s">
        <v>487</v>
      </c>
      <c r="AJ33" t="s">
        <v>488</v>
      </c>
    </row>
    <row r="34" spans="1:36" x14ac:dyDescent="0.3">
      <c r="A34" t="s">
        <v>550</v>
      </c>
      <c r="B34" t="s">
        <v>127</v>
      </c>
      <c r="C34" t="s">
        <v>484</v>
      </c>
      <c r="D34" s="9" t="s">
        <v>551</v>
      </c>
      <c r="E34" t="s">
        <v>47</v>
      </c>
      <c r="F34" t="s">
        <v>75</v>
      </c>
      <c r="G34" s="4">
        <v>6.97</v>
      </c>
      <c r="H34" s="4">
        <v>642.5</v>
      </c>
      <c r="I34" s="4">
        <v>417.4</v>
      </c>
      <c r="J34" s="4">
        <v>28.6</v>
      </c>
      <c r="K34" s="4">
        <v>34.51</v>
      </c>
      <c r="L34" s="4">
        <v>12.17</v>
      </c>
      <c r="M34" s="4">
        <v>45.05</v>
      </c>
      <c r="N34" s="4">
        <v>4.34</v>
      </c>
      <c r="O34" s="4">
        <v>130.19</v>
      </c>
      <c r="P34" s="4">
        <v>41.92</v>
      </c>
      <c r="Q34" s="4">
        <v>36.520000000000003</v>
      </c>
      <c r="R34" s="4">
        <v>54.96</v>
      </c>
      <c r="S34" s="4">
        <v>0.49</v>
      </c>
      <c r="T34" s="4">
        <v>-3.39</v>
      </c>
      <c r="U34" s="4">
        <v>-22.59</v>
      </c>
      <c r="V34" s="4">
        <v>0.23699999999999999</v>
      </c>
      <c r="W34" s="4">
        <v>56.5</v>
      </c>
      <c r="X34" s="4">
        <v>-0.28999999999999998</v>
      </c>
      <c r="Y34" s="4">
        <v>-0.84</v>
      </c>
      <c r="Z34" s="4">
        <v>-1.34</v>
      </c>
      <c r="AA34" s="4">
        <v>-5.54</v>
      </c>
      <c r="AB34" s="4">
        <f t="shared" si="0"/>
        <v>4.7942178446168748</v>
      </c>
      <c r="AC34" s="4">
        <f t="shared" si="1"/>
        <v>4.9886450090378265</v>
      </c>
      <c r="AD34" s="4">
        <f t="shared" si="2"/>
        <v>-1.9874260462346882</v>
      </c>
      <c r="AE34" s="4">
        <f t="shared" si="3"/>
        <v>1.6792660067384901</v>
      </c>
      <c r="AF34">
        <f t="shared" si="4"/>
        <v>43.1902774418676</v>
      </c>
      <c r="AG34" t="s">
        <v>492</v>
      </c>
      <c r="AH34" t="s">
        <v>506</v>
      </c>
      <c r="AI34" t="s">
        <v>487</v>
      </c>
      <c r="AJ34" t="s">
        <v>488</v>
      </c>
    </row>
    <row r="35" spans="1:36" x14ac:dyDescent="0.3">
      <c r="A35" t="s">
        <v>552</v>
      </c>
      <c r="B35" t="s">
        <v>127</v>
      </c>
      <c r="C35" t="s">
        <v>490</v>
      </c>
      <c r="D35" s="9" t="s">
        <v>553</v>
      </c>
      <c r="E35" t="s">
        <v>47</v>
      </c>
      <c r="F35" t="s">
        <v>75</v>
      </c>
      <c r="G35" s="4">
        <v>7.49</v>
      </c>
      <c r="H35" s="4">
        <v>1024.2</v>
      </c>
      <c r="I35" s="4">
        <v>624.79999999999995</v>
      </c>
      <c r="J35" s="4">
        <v>29.4</v>
      </c>
      <c r="K35" s="4">
        <v>37.31</v>
      </c>
      <c r="L35" s="4">
        <v>17.36</v>
      </c>
      <c r="M35" s="4">
        <v>70.709999999999994</v>
      </c>
      <c r="N35" s="4">
        <v>6.58</v>
      </c>
      <c r="O35" s="4">
        <v>183.9</v>
      </c>
      <c r="P35" s="4">
        <v>74.66</v>
      </c>
      <c r="Q35" s="4">
        <v>51.7</v>
      </c>
      <c r="R35" s="4">
        <v>142.6</v>
      </c>
      <c r="S35" s="4">
        <v>0.54</v>
      </c>
      <c r="T35" s="4">
        <v>-3.75</v>
      </c>
      <c r="U35" s="4">
        <v>-23.2</v>
      </c>
      <c r="V35" s="4">
        <v>0.217</v>
      </c>
      <c r="W35" s="4">
        <v>38.6</v>
      </c>
      <c r="X35" s="4">
        <v>-0.28999999999999998</v>
      </c>
      <c r="Y35" s="4">
        <v>-0.17</v>
      </c>
      <c r="Z35" s="4">
        <v>-0.7</v>
      </c>
      <c r="AA35" s="4">
        <v>-4.4800000000000004</v>
      </c>
      <c r="AB35" s="4">
        <f t="shared" si="0"/>
        <v>6.5344959298256917</v>
      </c>
      <c r="AC35" s="4">
        <f t="shared" si="1"/>
        <v>8.5245030789293281</v>
      </c>
      <c r="AD35" s="4">
        <f t="shared" si="2"/>
        <v>-13.214737234172626</v>
      </c>
      <c r="AE35" s="4">
        <f t="shared" si="3"/>
        <v>2.3980188577556225</v>
      </c>
      <c r="AF35">
        <f t="shared" si="4"/>
        <v>49.645970526088512</v>
      </c>
      <c r="AG35" t="s">
        <v>521</v>
      </c>
      <c r="AH35" t="s">
        <v>506</v>
      </c>
      <c r="AI35" t="s">
        <v>516</v>
      </c>
      <c r="AJ35" t="s">
        <v>517</v>
      </c>
    </row>
    <row r="36" spans="1:36" x14ac:dyDescent="0.3">
      <c r="A36" t="s">
        <v>554</v>
      </c>
      <c r="B36" t="s">
        <v>129</v>
      </c>
      <c r="C36" t="s">
        <v>484</v>
      </c>
      <c r="D36" s="9" t="s">
        <v>548</v>
      </c>
      <c r="E36" t="s">
        <v>47</v>
      </c>
      <c r="F36" t="s">
        <v>75</v>
      </c>
      <c r="G36" s="4">
        <v>7.56</v>
      </c>
      <c r="H36" s="4">
        <v>540.6</v>
      </c>
      <c r="I36" s="4">
        <v>343.5</v>
      </c>
      <c r="J36" s="4">
        <v>29</v>
      </c>
      <c r="K36" s="4">
        <v>29.46</v>
      </c>
      <c r="L36" s="4">
        <v>13.74</v>
      </c>
      <c r="M36" s="4">
        <v>26.62</v>
      </c>
      <c r="N36" s="4">
        <v>3.82</v>
      </c>
      <c r="O36" s="4">
        <v>110.68</v>
      </c>
      <c r="P36" s="4">
        <v>42.72</v>
      </c>
      <c r="Q36" s="4">
        <v>30.38</v>
      </c>
      <c r="R36" s="4">
        <v>9.15</v>
      </c>
      <c r="S36" s="4">
        <v>0.44</v>
      </c>
      <c r="T36" s="4">
        <v>-4.3</v>
      </c>
      <c r="U36" s="4">
        <v>-29.1</v>
      </c>
      <c r="V36" s="4">
        <v>0.23599999999999999</v>
      </c>
      <c r="W36" s="4">
        <v>50.7</v>
      </c>
      <c r="X36" s="4">
        <v>-0.23</v>
      </c>
      <c r="Y36" s="4">
        <v>-0.61</v>
      </c>
      <c r="Z36" s="4">
        <v>-0.54</v>
      </c>
      <c r="AA36" s="4">
        <v>-5.33</v>
      </c>
      <c r="AB36" s="4">
        <f t="shared" si="0"/>
        <v>3.8564131089798273</v>
      </c>
      <c r="AC36" s="4">
        <f t="shared" si="1"/>
        <v>3.8221766966762654</v>
      </c>
      <c r="AD36" s="4">
        <f t="shared" si="2"/>
        <v>0.4458684884865598</v>
      </c>
      <c r="AE36" s="4">
        <f t="shared" si="3"/>
        <v>1.0154357038539705</v>
      </c>
      <c r="AF36">
        <f t="shared" si="4"/>
        <v>32.560005269705435</v>
      </c>
      <c r="AG36" t="s">
        <v>497</v>
      </c>
      <c r="AH36" t="s">
        <v>48</v>
      </c>
      <c r="AI36" t="s">
        <v>487</v>
      </c>
      <c r="AJ36" t="s">
        <v>488</v>
      </c>
    </row>
    <row r="37" spans="1:36" x14ac:dyDescent="0.3">
      <c r="A37" t="s">
        <v>555</v>
      </c>
      <c r="B37" t="s">
        <v>129</v>
      </c>
      <c r="C37" t="s">
        <v>490</v>
      </c>
      <c r="D37" s="9" t="s">
        <v>491</v>
      </c>
      <c r="E37" t="s">
        <v>47</v>
      </c>
      <c r="F37" t="s">
        <v>75</v>
      </c>
      <c r="G37" s="4">
        <v>7.57</v>
      </c>
      <c r="H37" s="4">
        <v>781.8</v>
      </c>
      <c r="I37" s="4">
        <v>478.2</v>
      </c>
      <c r="J37" s="4">
        <v>30.4</v>
      </c>
      <c r="K37" s="4">
        <v>51.88</v>
      </c>
      <c r="L37" s="4">
        <v>23.33</v>
      </c>
      <c r="M37" s="4">
        <v>38.15</v>
      </c>
      <c r="N37" s="4">
        <v>7.37</v>
      </c>
      <c r="O37" s="4">
        <v>172.32</v>
      </c>
      <c r="P37" s="4">
        <v>69.180000000000007</v>
      </c>
      <c r="Q37" s="4">
        <v>51.27</v>
      </c>
      <c r="R37" s="4">
        <v>15.45</v>
      </c>
      <c r="S37" s="4">
        <v>0.85</v>
      </c>
      <c r="T37" s="4">
        <v>-2.74</v>
      </c>
      <c r="U37" s="4">
        <v>-15.04</v>
      </c>
      <c r="V37" s="4">
        <v>0.21</v>
      </c>
      <c r="W37" s="4">
        <v>34.5</v>
      </c>
      <c r="X37" s="4">
        <v>0.02</v>
      </c>
      <c r="Y37" s="4">
        <v>-0.16</v>
      </c>
      <c r="Z37" s="4">
        <v>-0.73</v>
      </c>
      <c r="AA37" s="4">
        <v>-4.91</v>
      </c>
      <c r="AB37" s="4">
        <f t="shared" si="0"/>
        <v>6.3567111507738483</v>
      </c>
      <c r="AC37" s="4">
        <f t="shared" si="1"/>
        <v>6.1368663377746344</v>
      </c>
      <c r="AD37" s="4">
        <f t="shared" si="2"/>
        <v>1.7596626202600654</v>
      </c>
      <c r="AE37" s="4">
        <f t="shared" si="3"/>
        <v>1.1052557225043389</v>
      </c>
      <c r="AF37">
        <f t="shared" si="4"/>
        <v>29.071480010965065</v>
      </c>
      <c r="AG37" t="s">
        <v>486</v>
      </c>
      <c r="AH37" t="s">
        <v>48</v>
      </c>
      <c r="AI37" t="s">
        <v>487</v>
      </c>
      <c r="AJ37" t="s">
        <v>488</v>
      </c>
    </row>
    <row r="38" spans="1:36" x14ac:dyDescent="0.3">
      <c r="A38" t="s">
        <v>556</v>
      </c>
      <c r="B38" t="s">
        <v>131</v>
      </c>
      <c r="C38" t="s">
        <v>484</v>
      </c>
      <c r="D38" s="9" t="s">
        <v>524</v>
      </c>
      <c r="E38" t="s">
        <v>47</v>
      </c>
      <c r="F38" t="s">
        <v>101</v>
      </c>
      <c r="G38" s="4">
        <v>6.86</v>
      </c>
      <c r="H38" s="4">
        <v>533.1</v>
      </c>
      <c r="I38" s="4">
        <v>363.3</v>
      </c>
      <c r="J38" s="4">
        <v>28.2</v>
      </c>
      <c r="K38" s="4">
        <v>33.590000000000003</v>
      </c>
      <c r="L38" s="4">
        <v>9.44</v>
      </c>
      <c r="M38" s="4">
        <v>31.87</v>
      </c>
      <c r="N38" s="4">
        <v>3.97</v>
      </c>
      <c r="O38" s="4">
        <v>125.96</v>
      </c>
      <c r="P38" s="4">
        <v>38.78</v>
      </c>
      <c r="Q38" s="4">
        <v>28.57</v>
      </c>
      <c r="R38" s="4">
        <v>18.829999999999998</v>
      </c>
      <c r="S38" s="4">
        <v>0.62</v>
      </c>
      <c r="T38" s="4">
        <v>-3.4</v>
      </c>
      <c r="U38" s="4">
        <v>-23.99</v>
      </c>
      <c r="V38" s="4">
        <v>7.1999999999999995E-2</v>
      </c>
      <c r="W38" s="4">
        <v>63</v>
      </c>
      <c r="X38" s="4">
        <v>-0.37</v>
      </c>
      <c r="Y38" s="4">
        <v>-0.32</v>
      </c>
      <c r="Z38" s="4">
        <v>-0.75</v>
      </c>
      <c r="AA38" s="4">
        <v>-4.83</v>
      </c>
      <c r="AB38" s="4">
        <f t="shared" si="0"/>
        <v>3.9408811619639552</v>
      </c>
      <c r="AC38" s="4">
        <f t="shared" si="1"/>
        <v>4.0893763602295667</v>
      </c>
      <c r="AD38" s="4">
        <f t="shared" si="2"/>
        <v>-1.8491959673174838</v>
      </c>
      <c r="AE38" s="4">
        <f t="shared" si="3"/>
        <v>1.25177387514064</v>
      </c>
      <c r="AF38">
        <f t="shared" si="4"/>
        <v>37.754371516842994</v>
      </c>
      <c r="AG38" t="s">
        <v>497</v>
      </c>
      <c r="AH38" t="s">
        <v>48</v>
      </c>
      <c r="AI38" t="s">
        <v>487</v>
      </c>
      <c r="AJ38" t="s">
        <v>488</v>
      </c>
    </row>
    <row r="39" spans="1:36" x14ac:dyDescent="0.3">
      <c r="A39" t="s">
        <v>557</v>
      </c>
      <c r="B39" t="s">
        <v>131</v>
      </c>
      <c r="C39" t="s">
        <v>490</v>
      </c>
      <c r="D39" s="9" t="s">
        <v>529</v>
      </c>
      <c r="E39" t="s">
        <v>47</v>
      </c>
      <c r="F39" t="s">
        <v>101</v>
      </c>
      <c r="G39" s="4">
        <v>6.83</v>
      </c>
      <c r="H39" s="4">
        <v>873.3</v>
      </c>
      <c r="I39" s="4">
        <v>585.20000000000005</v>
      </c>
      <c r="J39" s="4">
        <v>29.9</v>
      </c>
      <c r="K39" s="4">
        <v>62.77</v>
      </c>
      <c r="L39" s="4">
        <v>19.32</v>
      </c>
      <c r="M39" s="4">
        <v>58.36</v>
      </c>
      <c r="N39" s="4">
        <v>4.63</v>
      </c>
      <c r="O39" s="4">
        <v>208.06</v>
      </c>
      <c r="P39" s="4">
        <v>77.38</v>
      </c>
      <c r="Q39" s="4">
        <v>65.959999999999994</v>
      </c>
      <c r="R39" s="4">
        <v>24.12</v>
      </c>
      <c r="S39" s="4">
        <v>0.84</v>
      </c>
      <c r="T39" s="4">
        <v>-3.33</v>
      </c>
      <c r="U39" s="4">
        <v>-20.05</v>
      </c>
      <c r="V39" s="4">
        <v>0.122</v>
      </c>
      <c r="W39" s="4">
        <v>51.4</v>
      </c>
      <c r="X39" s="4">
        <v>-0.12</v>
      </c>
      <c r="Y39" s="4">
        <v>0.1</v>
      </c>
      <c r="Z39" s="4">
        <v>-0.42</v>
      </c>
      <c r="AA39" s="4">
        <v>-4.88</v>
      </c>
      <c r="AB39" s="4">
        <f t="shared" si="0"/>
        <v>7.3792139736644984</v>
      </c>
      <c r="AC39" s="4">
        <f t="shared" si="1"/>
        <v>7.3990582692286138</v>
      </c>
      <c r="AD39" s="4">
        <f t="shared" si="2"/>
        <v>-0.13428021380279093</v>
      </c>
      <c r="AE39" s="4">
        <f t="shared" si="3"/>
        <v>1.6521084639491497</v>
      </c>
      <c r="AF39">
        <f t="shared" si="4"/>
        <v>36.006894623534741</v>
      </c>
      <c r="AG39" t="s">
        <v>497</v>
      </c>
      <c r="AH39" t="s">
        <v>48</v>
      </c>
      <c r="AI39" t="s">
        <v>487</v>
      </c>
      <c r="AJ39" t="s">
        <v>488</v>
      </c>
    </row>
    <row r="40" spans="1:36" x14ac:dyDescent="0.3">
      <c r="A40" t="s">
        <v>558</v>
      </c>
      <c r="B40" t="s">
        <v>133</v>
      </c>
      <c r="C40" t="s">
        <v>484</v>
      </c>
      <c r="D40" s="9" t="s">
        <v>551</v>
      </c>
      <c r="E40" t="s">
        <v>47</v>
      </c>
      <c r="F40" t="s">
        <v>75</v>
      </c>
      <c r="G40" s="4">
        <v>7.16</v>
      </c>
      <c r="H40" s="4">
        <v>563.20000000000005</v>
      </c>
      <c r="I40" s="4">
        <v>396.4</v>
      </c>
      <c r="J40" s="4">
        <v>27.9</v>
      </c>
      <c r="K40" s="4">
        <v>40.33</v>
      </c>
      <c r="L40" s="4">
        <v>11.88</v>
      </c>
      <c r="M40" s="4">
        <v>40.380000000000003</v>
      </c>
      <c r="N40" s="4">
        <v>4.1399999999999997</v>
      </c>
      <c r="O40" s="4">
        <v>135.28</v>
      </c>
      <c r="P40" s="4">
        <v>37.22</v>
      </c>
      <c r="Q40" s="4">
        <v>57.44</v>
      </c>
      <c r="R40" s="4">
        <v>13.68</v>
      </c>
      <c r="S40" s="4">
        <v>0.42</v>
      </c>
      <c r="T40" s="4">
        <v>-3.82</v>
      </c>
      <c r="U40" s="4">
        <v>-25.68</v>
      </c>
      <c r="V40" s="4">
        <v>0.25900000000000001</v>
      </c>
      <c r="W40" s="4">
        <v>54.2</v>
      </c>
      <c r="X40" s="4">
        <v>-0.5</v>
      </c>
      <c r="Y40" s="4">
        <v>-0.71</v>
      </c>
      <c r="Z40" s="4">
        <v>-0.82</v>
      </c>
      <c r="AA40" s="4">
        <v>-5.27</v>
      </c>
      <c r="AB40" s="4">
        <f t="shared" si="0"/>
        <v>4.8525321127535275</v>
      </c>
      <c r="AC40" s="4">
        <f t="shared" si="1"/>
        <v>4.7056185435653433</v>
      </c>
      <c r="AD40" s="4">
        <f t="shared" si="2"/>
        <v>1.5370501519670021</v>
      </c>
      <c r="AE40" s="4">
        <f t="shared" si="3"/>
        <v>1.4365296408639916</v>
      </c>
      <c r="AF40">
        <f t="shared" si="4"/>
        <v>38.379550332444936</v>
      </c>
      <c r="AG40" t="s">
        <v>497</v>
      </c>
      <c r="AH40" t="s">
        <v>500</v>
      </c>
      <c r="AI40" t="s">
        <v>487</v>
      </c>
      <c r="AJ40" t="s">
        <v>488</v>
      </c>
    </row>
    <row r="41" spans="1:36" x14ac:dyDescent="0.3">
      <c r="A41" t="s">
        <v>559</v>
      </c>
      <c r="B41" t="s">
        <v>133</v>
      </c>
      <c r="C41" t="s">
        <v>490</v>
      </c>
      <c r="D41" s="9" t="s">
        <v>560</v>
      </c>
      <c r="E41" t="s">
        <v>47</v>
      </c>
      <c r="F41" t="s">
        <v>75</v>
      </c>
      <c r="G41" s="4">
        <v>7.06</v>
      </c>
      <c r="H41" s="4">
        <v>770.4</v>
      </c>
      <c r="I41" s="4">
        <v>532.1</v>
      </c>
      <c r="J41" s="4">
        <v>29.8</v>
      </c>
      <c r="K41" s="4">
        <v>48.65</v>
      </c>
      <c r="L41" s="4">
        <v>14.84</v>
      </c>
      <c r="M41" s="4">
        <v>70.87</v>
      </c>
      <c r="N41" s="4">
        <v>5.26</v>
      </c>
      <c r="O41" s="4">
        <v>181.46</v>
      </c>
      <c r="P41" s="4">
        <v>72.8</v>
      </c>
      <c r="Q41" s="4">
        <v>63.66</v>
      </c>
      <c r="R41" s="4">
        <v>19.010000000000002</v>
      </c>
      <c r="S41" s="4">
        <v>1.08</v>
      </c>
      <c r="T41" s="4">
        <v>-2.97</v>
      </c>
      <c r="U41" s="4">
        <v>-21.93</v>
      </c>
      <c r="V41" s="4">
        <v>0.249</v>
      </c>
      <c r="W41" s="4">
        <v>51</v>
      </c>
      <c r="X41" s="4">
        <v>-0.28999999999999998</v>
      </c>
      <c r="Y41" s="4">
        <v>-0.62</v>
      </c>
      <c r="Z41" s="4">
        <v>-0.86</v>
      </c>
      <c r="AA41" s="4">
        <v>-4.41</v>
      </c>
      <c r="AB41" s="4">
        <f t="shared" si="0"/>
        <v>6.8662262245304166</v>
      </c>
      <c r="AC41" s="4">
        <f t="shared" si="1"/>
        <v>6.716255254700715</v>
      </c>
      <c r="AD41" s="4">
        <f t="shared" si="2"/>
        <v>1.1041500042464336</v>
      </c>
      <c r="AE41" s="4">
        <f t="shared" si="3"/>
        <v>2.2823148194729783</v>
      </c>
      <c r="AF41">
        <f t="shared" si="4"/>
        <v>46.857070402140828</v>
      </c>
      <c r="AG41" t="s">
        <v>521</v>
      </c>
      <c r="AH41" t="s">
        <v>500</v>
      </c>
      <c r="AI41" t="s">
        <v>487</v>
      </c>
      <c r="AJ41" t="s">
        <v>488</v>
      </c>
    </row>
    <row r="42" spans="1:36" x14ac:dyDescent="0.3">
      <c r="A42" t="s">
        <v>561</v>
      </c>
      <c r="B42" t="s">
        <v>136</v>
      </c>
      <c r="C42" t="s">
        <v>484</v>
      </c>
      <c r="D42" s="9" t="s">
        <v>499</v>
      </c>
      <c r="E42" t="s">
        <v>47</v>
      </c>
      <c r="F42" t="s">
        <v>75</v>
      </c>
      <c r="G42" s="4">
        <v>7.36</v>
      </c>
      <c r="H42" s="4">
        <v>775.6</v>
      </c>
      <c r="I42" s="4">
        <v>438.3</v>
      </c>
      <c r="J42" s="4">
        <v>28.3</v>
      </c>
      <c r="K42" s="4">
        <v>38.03</v>
      </c>
      <c r="L42" s="4">
        <v>16.309999999999999</v>
      </c>
      <c r="M42" s="4">
        <v>35.450000000000003</v>
      </c>
      <c r="N42" s="4">
        <v>4.5999999999999996</v>
      </c>
      <c r="O42" s="4">
        <v>174.82</v>
      </c>
      <c r="P42" s="4">
        <v>34.49</v>
      </c>
      <c r="Q42" s="4">
        <v>40.380000000000003</v>
      </c>
      <c r="R42" s="4">
        <v>10.16</v>
      </c>
      <c r="S42" s="4">
        <v>0.77</v>
      </c>
      <c r="T42" s="4">
        <v>-4.22</v>
      </c>
      <c r="U42" s="4">
        <v>-27.1</v>
      </c>
      <c r="V42" s="4">
        <v>0.20300000000000001</v>
      </c>
      <c r="W42" s="4">
        <v>57.1</v>
      </c>
      <c r="X42" s="4">
        <v>0.18</v>
      </c>
      <c r="Y42" s="4">
        <v>0.08</v>
      </c>
      <c r="Z42" s="4">
        <v>-0.7</v>
      </c>
      <c r="AA42" s="4">
        <v>-4.8099999999999996</v>
      </c>
      <c r="AB42" s="4">
        <f t="shared" si="0"/>
        <v>4.8996048911813119</v>
      </c>
      <c r="AC42" s="4">
        <f t="shared" si="1"/>
        <v>4.8831005490772137</v>
      </c>
      <c r="AD42" s="4">
        <f t="shared" si="2"/>
        <v>0.16870938417687939</v>
      </c>
      <c r="AE42" s="4">
        <f t="shared" si="3"/>
        <v>1.2115593291103588</v>
      </c>
      <c r="AF42">
        <f t="shared" si="4"/>
        <v>33.874056374857581</v>
      </c>
      <c r="AG42" t="s">
        <v>497</v>
      </c>
      <c r="AH42" t="s">
        <v>500</v>
      </c>
      <c r="AI42" t="s">
        <v>487</v>
      </c>
      <c r="AJ42" t="s">
        <v>488</v>
      </c>
    </row>
    <row r="43" spans="1:36" x14ac:dyDescent="0.3">
      <c r="A43" t="s">
        <v>562</v>
      </c>
      <c r="B43" t="s">
        <v>136</v>
      </c>
      <c r="C43" t="s">
        <v>490</v>
      </c>
      <c r="D43" s="9" t="s">
        <v>563</v>
      </c>
      <c r="E43" t="s">
        <v>47</v>
      </c>
      <c r="F43" t="s">
        <v>75</v>
      </c>
      <c r="G43" s="4">
        <v>6.96</v>
      </c>
      <c r="H43" s="4">
        <v>759</v>
      </c>
      <c r="I43" s="4">
        <v>510.3</v>
      </c>
      <c r="J43" s="4">
        <v>30</v>
      </c>
      <c r="K43" s="4">
        <v>51.89</v>
      </c>
      <c r="L43" s="4">
        <v>23.7</v>
      </c>
      <c r="M43" s="4">
        <v>44.89</v>
      </c>
      <c r="N43" s="4">
        <v>6.9</v>
      </c>
      <c r="O43" s="4">
        <v>195.81</v>
      </c>
      <c r="P43" s="4">
        <v>65.52</v>
      </c>
      <c r="Q43" s="4">
        <v>51.1</v>
      </c>
      <c r="R43" s="4">
        <v>14.77</v>
      </c>
      <c r="S43" s="4">
        <v>0.75</v>
      </c>
      <c r="T43" s="4">
        <v>-3.67</v>
      </c>
      <c r="U43" s="4">
        <v>-25.49</v>
      </c>
      <c r="V43" s="4">
        <v>0.30199999999999999</v>
      </c>
      <c r="W43" s="4">
        <v>45.3</v>
      </c>
      <c r="X43" s="4">
        <v>-0.37</v>
      </c>
      <c r="Y43" s="4">
        <v>-0.37</v>
      </c>
      <c r="Z43" s="4">
        <v>-0.56999999999999995</v>
      </c>
      <c r="AA43" s="4">
        <v>-5.48</v>
      </c>
      <c r="AB43" s="4">
        <f t="shared" si="0"/>
        <v>6.6688192091787686</v>
      </c>
      <c r="AC43" s="4">
        <f t="shared" si="1"/>
        <v>6.3988420154622521</v>
      </c>
      <c r="AD43" s="4">
        <f t="shared" si="2"/>
        <v>2.0659947413346949</v>
      </c>
      <c r="AE43" s="4">
        <f t="shared" si="3"/>
        <v>1.2960821955465047</v>
      </c>
      <c r="AF43">
        <f t="shared" si="4"/>
        <v>31.92698086529639</v>
      </c>
      <c r="AG43" t="s">
        <v>497</v>
      </c>
      <c r="AH43" t="s">
        <v>48</v>
      </c>
      <c r="AI43" t="s">
        <v>487</v>
      </c>
      <c r="AJ43" t="s">
        <v>488</v>
      </c>
    </row>
    <row r="44" spans="1:36" x14ac:dyDescent="0.3">
      <c r="A44" t="s">
        <v>564</v>
      </c>
      <c r="B44" t="s">
        <v>138</v>
      </c>
      <c r="C44" t="s">
        <v>484</v>
      </c>
      <c r="D44" s="9" t="s">
        <v>565</v>
      </c>
      <c r="E44" t="s">
        <v>47</v>
      </c>
      <c r="F44" t="s">
        <v>75</v>
      </c>
      <c r="G44" s="4">
        <v>7.12</v>
      </c>
      <c r="H44" s="4">
        <v>510.1</v>
      </c>
      <c r="I44" s="4">
        <v>358.5</v>
      </c>
      <c r="J44" s="4">
        <v>28.6</v>
      </c>
      <c r="K44" s="4">
        <v>35.25</v>
      </c>
      <c r="L44" s="4">
        <v>11.88</v>
      </c>
      <c r="M44" s="4">
        <v>34.56</v>
      </c>
      <c r="N44" s="4">
        <v>4.33</v>
      </c>
      <c r="O44" s="4">
        <v>133.37</v>
      </c>
      <c r="P44" s="4">
        <v>34.26</v>
      </c>
      <c r="Q44" s="4">
        <v>38.630000000000003</v>
      </c>
      <c r="R44" s="4">
        <v>32.07</v>
      </c>
      <c r="S44" s="4">
        <v>0.56999999999999995</v>
      </c>
      <c r="T44" s="4">
        <v>-4.4400000000000004</v>
      </c>
      <c r="U44" s="4">
        <v>-29.68</v>
      </c>
      <c r="V44" s="4">
        <v>0.28399999999999997</v>
      </c>
      <c r="W44" s="4">
        <v>38.5</v>
      </c>
      <c r="X44" s="4">
        <v>-0.13</v>
      </c>
      <c r="Y44" s="4">
        <v>-0.63</v>
      </c>
      <c r="Z44" s="4">
        <v>-1</v>
      </c>
      <c r="AA44" s="4">
        <v>-4.95</v>
      </c>
      <c r="AB44" s="4">
        <f t="shared" si="0"/>
        <v>4.3507214754466297</v>
      </c>
      <c r="AC44" s="4">
        <f t="shared" si="1"/>
        <v>4.50367925995711</v>
      </c>
      <c r="AD44" s="4">
        <f t="shared" si="2"/>
        <v>-1.727477545700961</v>
      </c>
      <c r="AE44" s="4">
        <f t="shared" si="3"/>
        <v>1.2851662287856942</v>
      </c>
      <c r="AF44">
        <f t="shared" si="4"/>
        <v>37.099020021615793</v>
      </c>
      <c r="AG44" t="s">
        <v>497</v>
      </c>
      <c r="AH44" t="s">
        <v>500</v>
      </c>
      <c r="AI44" t="s">
        <v>487</v>
      </c>
      <c r="AJ44" t="s">
        <v>488</v>
      </c>
    </row>
    <row r="45" spans="1:36" x14ac:dyDescent="0.3">
      <c r="A45" t="s">
        <v>566</v>
      </c>
      <c r="B45" t="s">
        <v>138</v>
      </c>
      <c r="C45" t="s">
        <v>490</v>
      </c>
      <c r="D45" s="9" t="s">
        <v>532</v>
      </c>
      <c r="E45" t="s">
        <v>47</v>
      </c>
      <c r="F45" t="s">
        <v>75</v>
      </c>
      <c r="G45" s="4">
        <v>7.27</v>
      </c>
      <c r="H45" s="4">
        <v>901.4</v>
      </c>
      <c r="I45" s="4">
        <v>527.9</v>
      </c>
      <c r="J45" s="4">
        <v>29.8</v>
      </c>
      <c r="K45" s="4">
        <v>43.33</v>
      </c>
      <c r="L45" s="4">
        <v>20.93</v>
      </c>
      <c r="M45" s="4">
        <v>49.61</v>
      </c>
      <c r="N45" s="4">
        <v>4.58</v>
      </c>
      <c r="O45" s="4">
        <v>175.87</v>
      </c>
      <c r="P45" s="4">
        <v>58.13</v>
      </c>
      <c r="Q45" s="4">
        <v>55.18</v>
      </c>
      <c r="R45" s="4">
        <v>57.94</v>
      </c>
      <c r="S45" s="4">
        <v>0.5</v>
      </c>
      <c r="T45" s="4">
        <v>-3.35</v>
      </c>
      <c r="U45" s="4">
        <v>-20.86</v>
      </c>
      <c r="V45" s="4">
        <v>0.20799999999999999</v>
      </c>
      <c r="W45" s="4">
        <v>50.8</v>
      </c>
      <c r="X45" s="4">
        <v>-0.32</v>
      </c>
      <c r="Y45" s="4">
        <v>-0.73</v>
      </c>
      <c r="Z45" s="4">
        <v>-1.2</v>
      </c>
      <c r="AA45" s="4">
        <v>-5.15</v>
      </c>
      <c r="AB45" s="4">
        <f t="shared" si="0"/>
        <v>6.1596930584805767</v>
      </c>
      <c r="AC45" s="4">
        <f t="shared" si="1"/>
        <v>6.6316204297614334</v>
      </c>
      <c r="AD45" s="4">
        <f t="shared" si="2"/>
        <v>-3.68943636409709</v>
      </c>
      <c r="AE45" s="4">
        <f t="shared" si="3"/>
        <v>1.5484353047940316</v>
      </c>
      <c r="AF45">
        <f t="shared" si="4"/>
        <v>36.935771367365554</v>
      </c>
      <c r="AG45" t="s">
        <v>492</v>
      </c>
      <c r="AH45" t="s">
        <v>506</v>
      </c>
      <c r="AI45" t="s">
        <v>487</v>
      </c>
      <c r="AJ45" t="s">
        <v>488</v>
      </c>
    </row>
    <row r="46" spans="1:36" x14ac:dyDescent="0.3">
      <c r="A46" t="s">
        <v>567</v>
      </c>
      <c r="B46" t="s">
        <v>140</v>
      </c>
      <c r="C46" t="s">
        <v>484</v>
      </c>
      <c r="D46" s="9" t="s">
        <v>551</v>
      </c>
      <c r="E46" t="s">
        <v>47</v>
      </c>
      <c r="F46" t="s">
        <v>142</v>
      </c>
      <c r="G46" s="4">
        <v>7</v>
      </c>
      <c r="H46" s="4">
        <v>574.70000000000005</v>
      </c>
      <c r="I46" s="4">
        <v>328.3</v>
      </c>
      <c r="J46" s="4">
        <v>29</v>
      </c>
      <c r="K46" s="4">
        <v>34.29</v>
      </c>
      <c r="L46" s="4">
        <v>10.55</v>
      </c>
      <c r="M46" s="4">
        <v>23.69</v>
      </c>
      <c r="N46" s="4">
        <v>4.12</v>
      </c>
      <c r="O46" s="4">
        <v>105.72</v>
      </c>
      <c r="P46" s="4">
        <v>32.25</v>
      </c>
      <c r="Q46" s="4">
        <v>31.45</v>
      </c>
      <c r="R46" s="4">
        <v>27.87</v>
      </c>
      <c r="S46" s="4">
        <v>0.46</v>
      </c>
      <c r="T46" s="4">
        <v>-4.4000000000000004</v>
      </c>
      <c r="U46" s="4">
        <v>-25.78</v>
      </c>
      <c r="V46" s="4">
        <v>0.193</v>
      </c>
      <c r="W46" s="4">
        <v>59.1</v>
      </c>
      <c r="X46" s="4">
        <v>0.22</v>
      </c>
      <c r="Y46" s="4">
        <v>-0.31</v>
      </c>
      <c r="Z46" s="4">
        <v>-1.3</v>
      </c>
      <c r="AA46" s="4">
        <v>-5.36</v>
      </c>
      <c r="AB46" s="4">
        <f t="shared" si="0"/>
        <v>3.7151664389605896</v>
      </c>
      <c r="AC46" s="4">
        <f t="shared" si="1"/>
        <v>3.7708080866033069</v>
      </c>
      <c r="AD46" s="4">
        <f t="shared" si="2"/>
        <v>-0.74327861326145717</v>
      </c>
      <c r="AE46" s="4">
        <f t="shared" si="3"/>
        <v>0.90742193128414217</v>
      </c>
      <c r="AF46">
        <f t="shared" si="4"/>
        <v>30.573840960947695</v>
      </c>
      <c r="AG46" t="s">
        <v>486</v>
      </c>
      <c r="AH46" t="s">
        <v>48</v>
      </c>
      <c r="AI46" t="s">
        <v>487</v>
      </c>
      <c r="AJ46" t="s">
        <v>488</v>
      </c>
    </row>
    <row r="47" spans="1:36" x14ac:dyDescent="0.3">
      <c r="A47" t="s">
        <v>568</v>
      </c>
      <c r="B47" t="s">
        <v>140</v>
      </c>
      <c r="C47" t="s">
        <v>490</v>
      </c>
      <c r="D47" s="9" t="s">
        <v>496</v>
      </c>
      <c r="E47" t="s">
        <v>47</v>
      </c>
      <c r="F47" t="s">
        <v>142</v>
      </c>
      <c r="G47" s="4">
        <v>6.97</v>
      </c>
      <c r="H47" s="4">
        <v>906</v>
      </c>
      <c r="I47" s="4">
        <v>581.5</v>
      </c>
      <c r="J47" s="4">
        <v>29.6</v>
      </c>
      <c r="K47" s="4">
        <v>53.67</v>
      </c>
      <c r="L47" s="4">
        <v>18.64</v>
      </c>
      <c r="M47" s="4">
        <v>56.92</v>
      </c>
      <c r="N47" s="4">
        <v>5.96</v>
      </c>
      <c r="O47" s="4">
        <v>188.15</v>
      </c>
      <c r="P47" s="4">
        <v>83.34</v>
      </c>
      <c r="Q47" s="4">
        <v>48.31</v>
      </c>
      <c r="R47" s="4">
        <v>58.05</v>
      </c>
      <c r="S47" s="4">
        <v>0.32</v>
      </c>
      <c r="T47" s="4">
        <v>-3.34</v>
      </c>
      <c r="U47" s="4">
        <v>-25.94</v>
      </c>
      <c r="V47" s="4">
        <v>0.186</v>
      </c>
      <c r="W47" s="4">
        <v>56.9</v>
      </c>
      <c r="X47" s="4">
        <v>-0.19</v>
      </c>
      <c r="Y47" s="4">
        <v>-0.47</v>
      </c>
      <c r="Z47" s="4">
        <v>-1.08</v>
      </c>
      <c r="AA47" s="4">
        <v>-4.8499999999999996</v>
      </c>
      <c r="AB47" s="4">
        <f t="shared" si="0"/>
        <v>6.8405223641995283</v>
      </c>
      <c r="AC47" s="4">
        <f t="shared" si="1"/>
        <v>7.3932251630003512</v>
      </c>
      <c r="AD47" s="4">
        <f t="shared" si="2"/>
        <v>-3.883044839348452</v>
      </c>
      <c r="AE47" s="4">
        <f t="shared" si="3"/>
        <v>1.7061198566677613</v>
      </c>
      <c r="AF47">
        <f t="shared" si="4"/>
        <v>38.424028043566665</v>
      </c>
      <c r="AG47" t="s">
        <v>497</v>
      </c>
      <c r="AH47" t="s">
        <v>506</v>
      </c>
      <c r="AI47" t="s">
        <v>487</v>
      </c>
      <c r="AJ47" t="s">
        <v>488</v>
      </c>
    </row>
    <row r="48" spans="1:36" x14ac:dyDescent="0.3">
      <c r="A48" t="s">
        <v>569</v>
      </c>
      <c r="B48" t="s">
        <v>145</v>
      </c>
      <c r="C48" t="s">
        <v>484</v>
      </c>
      <c r="D48" s="9" t="s">
        <v>570</v>
      </c>
      <c r="E48" t="s">
        <v>47</v>
      </c>
      <c r="F48" t="s">
        <v>142</v>
      </c>
      <c r="G48" s="4">
        <v>7.08</v>
      </c>
      <c r="H48" s="4">
        <v>495.9</v>
      </c>
      <c r="I48" s="4">
        <v>340.8</v>
      </c>
      <c r="J48" s="4">
        <v>28.1</v>
      </c>
      <c r="K48" s="4">
        <v>24.54</v>
      </c>
      <c r="L48" s="4">
        <v>11.25</v>
      </c>
      <c r="M48" s="4">
        <v>33.619999999999997</v>
      </c>
      <c r="N48" s="4">
        <v>3.84</v>
      </c>
      <c r="O48" s="4">
        <v>107.01</v>
      </c>
      <c r="P48" s="4">
        <v>38.78</v>
      </c>
      <c r="Q48" s="4">
        <v>23.74</v>
      </c>
      <c r="R48" s="4">
        <v>39.35</v>
      </c>
      <c r="S48" s="4">
        <v>0.45</v>
      </c>
      <c r="T48" s="4">
        <v>-4.16</v>
      </c>
      <c r="U48" s="4">
        <v>-22.19</v>
      </c>
      <c r="V48" s="4">
        <v>0.17799999999999999</v>
      </c>
      <c r="W48" s="4">
        <v>37.799999999999997</v>
      </c>
      <c r="X48" s="4">
        <v>-0.44</v>
      </c>
      <c r="Y48" s="4">
        <v>-1.0900000000000001</v>
      </c>
      <c r="Z48" s="4">
        <v>-1.35</v>
      </c>
      <c r="AA48" s="4">
        <v>-5</v>
      </c>
      <c r="AB48" s="4">
        <f t="shared" si="0"/>
        <v>3.7110007519818446</v>
      </c>
      <c r="AC48" s="4">
        <f t="shared" si="1"/>
        <v>4.0002332124987623</v>
      </c>
      <c r="AD48" s="4">
        <f t="shared" si="2"/>
        <v>-3.7507934767532238</v>
      </c>
      <c r="AE48" s="4">
        <f t="shared" si="3"/>
        <v>1.410387035913423</v>
      </c>
      <c r="AF48">
        <f t="shared" si="4"/>
        <v>42.054782639955555</v>
      </c>
      <c r="AG48" t="s">
        <v>521</v>
      </c>
      <c r="AH48" t="s">
        <v>48</v>
      </c>
      <c r="AI48" t="s">
        <v>487</v>
      </c>
      <c r="AJ48" t="s">
        <v>488</v>
      </c>
    </row>
    <row r="49" spans="1:36" x14ac:dyDescent="0.3">
      <c r="A49" t="s">
        <v>571</v>
      </c>
      <c r="B49" t="s">
        <v>145</v>
      </c>
      <c r="C49" t="s">
        <v>490</v>
      </c>
      <c r="D49" s="9" t="s">
        <v>572</v>
      </c>
      <c r="E49" t="s">
        <v>47</v>
      </c>
      <c r="F49" t="s">
        <v>142</v>
      </c>
      <c r="G49" s="4">
        <v>7.07</v>
      </c>
      <c r="H49" s="4">
        <v>790.5</v>
      </c>
      <c r="I49" s="4">
        <v>506.1</v>
      </c>
      <c r="J49" s="4">
        <v>29.9</v>
      </c>
      <c r="K49" s="4">
        <v>47.18</v>
      </c>
      <c r="L49" s="4">
        <v>15.47</v>
      </c>
      <c r="M49" s="4">
        <v>48.14</v>
      </c>
      <c r="N49" s="4">
        <v>4.78</v>
      </c>
      <c r="O49" s="4">
        <v>166.54</v>
      </c>
      <c r="P49" s="4">
        <v>65.3</v>
      </c>
      <c r="Q49" s="4">
        <v>49.26</v>
      </c>
      <c r="R49" s="4">
        <v>56.02</v>
      </c>
      <c r="S49" s="4">
        <v>0.69</v>
      </c>
      <c r="T49" s="4">
        <v>-3.11</v>
      </c>
      <c r="U49" s="4">
        <v>-18.649999999999999</v>
      </c>
      <c r="V49" s="4">
        <v>0.188</v>
      </c>
      <c r="W49" s="4">
        <v>41.8</v>
      </c>
      <c r="X49" s="4">
        <v>-0.43</v>
      </c>
      <c r="Y49" s="4">
        <v>-0.68</v>
      </c>
      <c r="Z49" s="4">
        <v>-1.08</v>
      </c>
      <c r="AA49" s="4">
        <v>-5.25</v>
      </c>
      <c r="AB49" s="4">
        <f t="shared" si="0"/>
        <v>5.8436998705021672</v>
      </c>
      <c r="AC49" s="4">
        <f t="shared" si="1"/>
        <v>6.5367287625365185</v>
      </c>
      <c r="AD49" s="4">
        <f t="shared" si="2"/>
        <v>-5.5977778522539925</v>
      </c>
      <c r="AE49" s="4">
        <f t="shared" si="3"/>
        <v>1.5549033488542809</v>
      </c>
      <c r="AF49">
        <f t="shared" si="4"/>
        <v>37.926346665339928</v>
      </c>
      <c r="AG49" t="s">
        <v>497</v>
      </c>
      <c r="AH49" t="s">
        <v>506</v>
      </c>
      <c r="AI49" t="s">
        <v>542</v>
      </c>
      <c r="AJ49" t="s">
        <v>543</v>
      </c>
    </row>
    <row r="50" spans="1:36" x14ac:dyDescent="0.3">
      <c r="A50" t="s">
        <v>573</v>
      </c>
      <c r="B50" t="s">
        <v>148</v>
      </c>
      <c r="C50" t="s">
        <v>484</v>
      </c>
      <c r="D50" s="9" t="s">
        <v>494</v>
      </c>
      <c r="E50" t="s">
        <v>47</v>
      </c>
      <c r="F50" t="s">
        <v>75</v>
      </c>
      <c r="G50" s="4">
        <v>7.14</v>
      </c>
      <c r="H50" s="4">
        <v>521.1</v>
      </c>
      <c r="I50" s="4">
        <v>352.4</v>
      </c>
      <c r="J50" s="4">
        <v>28.8</v>
      </c>
      <c r="K50" s="4">
        <v>28.14</v>
      </c>
      <c r="L50" s="4">
        <v>12.38</v>
      </c>
      <c r="M50" s="4">
        <v>40.28</v>
      </c>
      <c r="N50" s="4">
        <v>4.63</v>
      </c>
      <c r="O50" s="4">
        <v>133.71</v>
      </c>
      <c r="P50" s="4">
        <v>35.58</v>
      </c>
      <c r="Q50" s="4">
        <v>34.729999999999997</v>
      </c>
      <c r="R50" s="4">
        <v>32.01</v>
      </c>
      <c r="S50" s="4">
        <v>0.63</v>
      </c>
      <c r="T50" s="4">
        <v>-4.04</v>
      </c>
      <c r="U50" s="4">
        <v>-25.62</v>
      </c>
      <c r="V50" s="4">
        <v>0.20200000000000001</v>
      </c>
      <c r="W50" s="4">
        <v>33.9</v>
      </c>
      <c r="X50" s="4">
        <v>-0.27</v>
      </c>
      <c r="Y50" s="4">
        <v>-0.59</v>
      </c>
      <c r="Z50" s="4">
        <v>-0.88</v>
      </c>
      <c r="AA50" s="4">
        <v>-5.18</v>
      </c>
      <c r="AB50" s="4">
        <f t="shared" si="0"/>
        <v>4.2935448260995539</v>
      </c>
      <c r="AC50" s="4">
        <f t="shared" si="1"/>
        <v>4.4674752722955455</v>
      </c>
      <c r="AD50" s="4">
        <f t="shared" si="2"/>
        <v>-1.9852761920709818</v>
      </c>
      <c r="AE50" s="4">
        <f t="shared" si="3"/>
        <v>1.5918761460785757</v>
      </c>
      <c r="AF50">
        <f t="shared" si="4"/>
        <v>43.566861049830621</v>
      </c>
      <c r="AG50" t="s">
        <v>521</v>
      </c>
      <c r="AH50" t="s">
        <v>500</v>
      </c>
      <c r="AI50" t="s">
        <v>487</v>
      </c>
      <c r="AJ50" t="s">
        <v>488</v>
      </c>
    </row>
    <row r="51" spans="1:36" x14ac:dyDescent="0.3">
      <c r="A51" t="s">
        <v>574</v>
      </c>
      <c r="B51" t="s">
        <v>148</v>
      </c>
      <c r="C51" t="s">
        <v>490</v>
      </c>
      <c r="D51" s="9" t="s">
        <v>532</v>
      </c>
      <c r="E51" t="s">
        <v>47</v>
      </c>
      <c r="F51" t="s">
        <v>75</v>
      </c>
      <c r="G51" s="4">
        <v>7.36</v>
      </c>
      <c r="H51" s="4">
        <v>786.1</v>
      </c>
      <c r="I51" s="4">
        <v>501.8</v>
      </c>
      <c r="J51" s="4">
        <v>27.7</v>
      </c>
      <c r="K51" s="4">
        <v>52.51</v>
      </c>
      <c r="L51" s="4">
        <v>17.55</v>
      </c>
      <c r="M51" s="4">
        <v>43.99</v>
      </c>
      <c r="N51" s="4">
        <v>6.15</v>
      </c>
      <c r="O51" s="4">
        <v>178.81</v>
      </c>
      <c r="P51" s="4">
        <v>64.209999999999994</v>
      </c>
      <c r="Q51" s="4">
        <v>56.64</v>
      </c>
      <c r="R51" s="4">
        <v>21.98</v>
      </c>
      <c r="S51" s="4">
        <v>0.52</v>
      </c>
      <c r="T51" s="4">
        <v>-3.46</v>
      </c>
      <c r="U51" s="4">
        <v>-25.38</v>
      </c>
      <c r="V51" s="4">
        <v>0.20300000000000001</v>
      </c>
      <c r="W51" s="4">
        <v>37.799999999999997</v>
      </c>
      <c r="X51" s="4">
        <v>-0.37</v>
      </c>
      <c r="Y51" s="4">
        <v>-0.63</v>
      </c>
      <c r="Z51" s="4">
        <v>-1.05</v>
      </c>
      <c r="AA51" s="4">
        <v>-5.0999999999999996</v>
      </c>
      <c r="AB51" s="4">
        <f t="shared" si="0"/>
        <v>6.1353584415085951</v>
      </c>
      <c r="AC51" s="4">
        <f t="shared" si="1"/>
        <v>6.30279541312541</v>
      </c>
      <c r="AD51" s="4">
        <f t="shared" si="2"/>
        <v>-1.3461561383921454</v>
      </c>
      <c r="AE51" s="4">
        <f t="shared" si="3"/>
        <v>1.3422805906390511</v>
      </c>
      <c r="AF51">
        <f t="shared" si="4"/>
        <v>33.752240026749242</v>
      </c>
      <c r="AG51" t="s">
        <v>486</v>
      </c>
      <c r="AH51" t="s">
        <v>48</v>
      </c>
      <c r="AI51" t="s">
        <v>487</v>
      </c>
      <c r="AJ51" t="s">
        <v>488</v>
      </c>
    </row>
    <row r="52" spans="1:36" x14ac:dyDescent="0.3">
      <c r="A52" t="s">
        <v>575</v>
      </c>
      <c r="B52" t="s">
        <v>150</v>
      </c>
      <c r="C52" t="s">
        <v>484</v>
      </c>
      <c r="D52" s="9" t="s">
        <v>508</v>
      </c>
      <c r="E52" t="s">
        <v>47</v>
      </c>
      <c r="F52" t="s">
        <v>142</v>
      </c>
      <c r="G52" s="4">
        <v>6.84</v>
      </c>
      <c r="H52" s="4">
        <v>462.1</v>
      </c>
      <c r="I52" s="4">
        <v>320.39999999999998</v>
      </c>
      <c r="J52" s="4">
        <v>27.9</v>
      </c>
      <c r="K52" s="4">
        <v>34.450000000000003</v>
      </c>
      <c r="L52" s="4">
        <v>8.85</v>
      </c>
      <c r="M52" s="4">
        <v>25.73</v>
      </c>
      <c r="N52" s="4">
        <v>4.3</v>
      </c>
      <c r="O52" s="4">
        <v>104.27</v>
      </c>
      <c r="P52" s="4">
        <v>37.21</v>
      </c>
      <c r="Q52" s="4">
        <v>29.54</v>
      </c>
      <c r="R52" s="4">
        <v>34.07</v>
      </c>
      <c r="S52" s="4">
        <v>0.63</v>
      </c>
      <c r="T52" s="4">
        <v>-4.25</v>
      </c>
      <c r="U52" s="4">
        <v>-26.04</v>
      </c>
      <c r="V52" s="4">
        <v>0.17199999999999999</v>
      </c>
      <c r="W52" s="4">
        <v>46.4</v>
      </c>
      <c r="X52" s="4">
        <v>-0.3</v>
      </c>
      <c r="Y52" s="4">
        <v>-0.56000000000000005</v>
      </c>
      <c r="Z52" s="4">
        <v>-1.47</v>
      </c>
      <c r="AA52" s="4">
        <v>-4.97</v>
      </c>
      <c r="AB52" s="4">
        <f t="shared" si="0"/>
        <v>3.6766038657578228</v>
      </c>
      <c r="AC52" s="4">
        <f t="shared" si="1"/>
        <v>3.9561209576430958</v>
      </c>
      <c r="AD52" s="4">
        <f t="shared" si="2"/>
        <v>-3.6620878959020082</v>
      </c>
      <c r="AE52" s="4">
        <f t="shared" si="3"/>
        <v>1.0117724688404854</v>
      </c>
      <c r="AF52">
        <f t="shared" si="4"/>
        <v>33.433326829512559</v>
      </c>
      <c r="AG52" t="s">
        <v>486</v>
      </c>
      <c r="AH52" t="s">
        <v>48</v>
      </c>
      <c r="AI52" t="s">
        <v>487</v>
      </c>
      <c r="AJ52" t="s">
        <v>488</v>
      </c>
    </row>
    <row r="53" spans="1:36" x14ac:dyDescent="0.3">
      <c r="A53" t="s">
        <v>576</v>
      </c>
      <c r="B53" t="s">
        <v>150</v>
      </c>
      <c r="C53" t="s">
        <v>490</v>
      </c>
      <c r="D53" s="9" t="s">
        <v>510</v>
      </c>
      <c r="E53" t="s">
        <v>47</v>
      </c>
      <c r="F53" t="s">
        <v>142</v>
      </c>
      <c r="G53" s="4">
        <v>6.79</v>
      </c>
      <c r="H53" s="4">
        <v>702.9</v>
      </c>
      <c r="I53" s="4">
        <v>474.4</v>
      </c>
      <c r="J53" s="4">
        <v>28.3</v>
      </c>
      <c r="K53" s="4">
        <v>53.1</v>
      </c>
      <c r="L53" s="4">
        <v>16.440000000000001</v>
      </c>
      <c r="M53" s="4">
        <v>47.74</v>
      </c>
      <c r="N53" s="4">
        <v>6.79</v>
      </c>
      <c r="O53" s="4">
        <v>169.84</v>
      </c>
      <c r="P53" s="4">
        <v>60.22</v>
      </c>
      <c r="Q53" s="4">
        <v>41.06</v>
      </c>
      <c r="R53" s="4">
        <v>33.92</v>
      </c>
      <c r="S53" s="4">
        <v>0.78</v>
      </c>
      <c r="T53" s="4">
        <v>-3.51</v>
      </c>
      <c r="U53" s="4">
        <v>-19.989999999999998</v>
      </c>
      <c r="V53" s="4">
        <v>0.22900000000000001</v>
      </c>
      <c r="W53" s="4">
        <v>44.1</v>
      </c>
      <c r="X53" s="4">
        <v>0.49</v>
      </c>
      <c r="Y53" s="4">
        <v>0.28000000000000003</v>
      </c>
      <c r="Z53" s="4">
        <v>-0.88</v>
      </c>
      <c r="AA53" s="4">
        <v>-5.0999999999999996</v>
      </c>
      <c r="AB53" s="4">
        <f t="shared" si="0"/>
        <v>6.2529524144812951</v>
      </c>
      <c r="AC53" s="4">
        <f t="shared" si="1"/>
        <v>5.9251119076260519</v>
      </c>
      <c r="AD53" s="4">
        <f t="shared" si="2"/>
        <v>2.6920576060688126</v>
      </c>
      <c r="AE53" s="4">
        <f t="shared" si="3"/>
        <v>1.4679255118056547</v>
      </c>
      <c r="AF53">
        <f t="shared" si="4"/>
        <v>35.987984157629654</v>
      </c>
      <c r="AG53" t="s">
        <v>497</v>
      </c>
      <c r="AH53" t="s">
        <v>48</v>
      </c>
      <c r="AI53" t="s">
        <v>487</v>
      </c>
      <c r="AJ53" t="s">
        <v>488</v>
      </c>
    </row>
    <row r="54" spans="1:36" x14ac:dyDescent="0.3">
      <c r="A54" t="s">
        <v>577</v>
      </c>
      <c r="B54" t="s">
        <v>152</v>
      </c>
      <c r="C54" t="s">
        <v>484</v>
      </c>
      <c r="D54" s="9" t="s">
        <v>565</v>
      </c>
      <c r="E54" t="s">
        <v>47</v>
      </c>
      <c r="F54" t="s">
        <v>75</v>
      </c>
      <c r="G54" s="4">
        <v>6.89</v>
      </c>
      <c r="H54" s="4">
        <v>732.8</v>
      </c>
      <c r="I54" s="4">
        <v>424.9</v>
      </c>
      <c r="J54" s="4">
        <v>29.3</v>
      </c>
      <c r="K54" s="4">
        <v>39.22</v>
      </c>
      <c r="L54" s="4">
        <v>14.77</v>
      </c>
      <c r="M54" s="4">
        <v>40.07</v>
      </c>
      <c r="N54" s="4">
        <v>5.44</v>
      </c>
      <c r="O54" s="4">
        <v>150.16999999999999</v>
      </c>
      <c r="P54" s="4">
        <v>51.48</v>
      </c>
      <c r="Q54" s="4">
        <v>49.45</v>
      </c>
      <c r="R54" s="4">
        <v>12.59</v>
      </c>
      <c r="S54" s="4">
        <v>0.4</v>
      </c>
      <c r="T54" s="4">
        <v>-4.16</v>
      </c>
      <c r="U54" s="4">
        <v>-25.99</v>
      </c>
      <c r="V54" s="4">
        <v>0.28899999999999998</v>
      </c>
      <c r="W54" s="4">
        <v>52.2</v>
      </c>
      <c r="X54" s="4">
        <v>-0.61</v>
      </c>
      <c r="Y54" s="4">
        <v>-0.89</v>
      </c>
      <c r="Z54" s="4">
        <v>-0.86</v>
      </c>
      <c r="AA54" s="4">
        <v>-4.91</v>
      </c>
      <c r="AB54" s="4">
        <f t="shared" si="0"/>
        <v>5.0547163496134857</v>
      </c>
      <c r="AC54" s="4">
        <f t="shared" si="1"/>
        <v>5.1668891961144841</v>
      </c>
      <c r="AD54" s="4">
        <f t="shared" si="2"/>
        <v>-1.0974092670586375</v>
      </c>
      <c r="AE54" s="4">
        <f t="shared" si="3"/>
        <v>1.3839122904526724</v>
      </c>
      <c r="AF54">
        <f t="shared" si="4"/>
        <v>37.23542424442978</v>
      </c>
      <c r="AG54" t="s">
        <v>497</v>
      </c>
      <c r="AH54" t="s">
        <v>48</v>
      </c>
      <c r="AI54" t="s">
        <v>487</v>
      </c>
      <c r="AJ54" t="s">
        <v>488</v>
      </c>
    </row>
    <row r="55" spans="1:36" x14ac:dyDescent="0.3">
      <c r="A55" t="s">
        <v>578</v>
      </c>
      <c r="B55" t="s">
        <v>152</v>
      </c>
      <c r="C55" t="s">
        <v>490</v>
      </c>
      <c r="D55" s="9" t="s">
        <v>535</v>
      </c>
      <c r="E55" t="s">
        <v>47</v>
      </c>
      <c r="F55" t="s">
        <v>75</v>
      </c>
      <c r="G55" s="4">
        <v>7.06</v>
      </c>
      <c r="H55" s="4">
        <v>1006.7</v>
      </c>
      <c r="I55" s="4">
        <v>573.4</v>
      </c>
      <c r="J55" s="4">
        <v>28.8</v>
      </c>
      <c r="K55" s="4">
        <v>49.45</v>
      </c>
      <c r="L55" s="4">
        <v>13.56</v>
      </c>
      <c r="M55" s="4">
        <v>79.16</v>
      </c>
      <c r="N55" s="4">
        <v>4.62</v>
      </c>
      <c r="O55" s="4">
        <v>214.82</v>
      </c>
      <c r="P55" s="4">
        <v>75.38</v>
      </c>
      <c r="Q55" s="4">
        <v>75.23</v>
      </c>
      <c r="R55" s="4">
        <v>11.21</v>
      </c>
      <c r="S55" s="4">
        <v>0.49</v>
      </c>
      <c r="T55" s="4">
        <v>-2.82</v>
      </c>
      <c r="U55" s="4">
        <v>-18.22</v>
      </c>
      <c r="V55" s="4">
        <v>0.20799999999999999</v>
      </c>
      <c r="W55" s="4">
        <v>45.9</v>
      </c>
      <c r="X55" s="4">
        <v>-0.08</v>
      </c>
      <c r="Y55" s="4">
        <v>0.04</v>
      </c>
      <c r="Z55" s="4">
        <v>-0.89</v>
      </c>
      <c r="AA55" s="4">
        <v>-4.92</v>
      </c>
      <c r="AB55" s="4">
        <f t="shared" si="0"/>
        <v>7.1450583777526031</v>
      </c>
      <c r="AC55" s="4">
        <f t="shared" si="1"/>
        <v>7.4198081952779811</v>
      </c>
      <c r="AD55" s="4">
        <f t="shared" si="2"/>
        <v>-1.8863874663577462</v>
      </c>
      <c r="AE55" s="4">
        <f t="shared" si="3"/>
        <v>2.5724475351382861</v>
      </c>
      <c r="AF55">
        <f t="shared" si="4"/>
        <v>49.846346816309207</v>
      </c>
      <c r="AG55" t="s">
        <v>521</v>
      </c>
      <c r="AH55" t="s">
        <v>500</v>
      </c>
      <c r="AI55" t="s">
        <v>487</v>
      </c>
      <c r="AJ55" t="s">
        <v>488</v>
      </c>
    </row>
    <row r="56" spans="1:36" x14ac:dyDescent="0.3">
      <c r="A56" t="s">
        <v>579</v>
      </c>
      <c r="B56" t="s">
        <v>154</v>
      </c>
      <c r="C56" t="s">
        <v>484</v>
      </c>
      <c r="D56" s="9" t="s">
        <v>504</v>
      </c>
      <c r="E56" t="s">
        <v>47</v>
      </c>
      <c r="F56" t="s">
        <v>75</v>
      </c>
      <c r="G56" s="4">
        <v>7.08</v>
      </c>
      <c r="H56" s="4">
        <v>709.8</v>
      </c>
      <c r="I56" s="4">
        <v>394.7</v>
      </c>
      <c r="J56" s="4">
        <v>29.4</v>
      </c>
      <c r="K56" s="4">
        <v>29.05</v>
      </c>
      <c r="L56" s="4">
        <v>11.35</v>
      </c>
      <c r="M56" s="4">
        <v>49.84</v>
      </c>
      <c r="N56" s="4">
        <v>4.9000000000000004</v>
      </c>
      <c r="O56" s="4">
        <v>137.37</v>
      </c>
      <c r="P56" s="4">
        <v>46.9</v>
      </c>
      <c r="Q56" s="4">
        <v>34</v>
      </c>
      <c r="R56" s="4">
        <v>34.18</v>
      </c>
      <c r="S56" s="4">
        <v>0.39</v>
      </c>
      <c r="T56" s="4">
        <v>-3.77</v>
      </c>
      <c r="U56" s="4">
        <v>-23.12</v>
      </c>
      <c r="V56" s="4">
        <v>0.27200000000000002</v>
      </c>
      <c r="W56" s="4">
        <v>42.9</v>
      </c>
      <c r="X56" s="4">
        <v>0.1</v>
      </c>
      <c r="Y56" s="4">
        <v>-0.02</v>
      </c>
      <c r="Z56" s="4">
        <v>-1.58</v>
      </c>
      <c r="AA56" s="4">
        <v>-5.33</v>
      </c>
      <c r="AB56" s="4">
        <f t="shared" si="0"/>
        <v>4.6769568340573864</v>
      </c>
      <c r="AC56" s="4">
        <f t="shared" si="1"/>
        <v>4.8539209993292349</v>
      </c>
      <c r="AD56" s="4">
        <f t="shared" si="2"/>
        <v>-1.8567457097387596</v>
      </c>
      <c r="AE56" s="4">
        <f t="shared" si="3"/>
        <v>1.985879355014381</v>
      </c>
      <c r="AF56">
        <f t="shared" si="4"/>
        <v>49.034437843841573</v>
      </c>
      <c r="AG56" t="s">
        <v>521</v>
      </c>
      <c r="AH56" t="s">
        <v>500</v>
      </c>
      <c r="AI56" t="s">
        <v>487</v>
      </c>
      <c r="AJ56" t="s">
        <v>488</v>
      </c>
    </row>
    <row r="57" spans="1:36" x14ac:dyDescent="0.3">
      <c r="A57" t="s">
        <v>580</v>
      </c>
      <c r="B57" t="s">
        <v>154</v>
      </c>
      <c r="C57" t="s">
        <v>490</v>
      </c>
      <c r="D57" s="9" t="s">
        <v>535</v>
      </c>
      <c r="E57" t="s">
        <v>47</v>
      </c>
      <c r="F57" t="s">
        <v>75</v>
      </c>
      <c r="G57" s="4">
        <v>6.93</v>
      </c>
      <c r="H57" s="4">
        <v>900.5</v>
      </c>
      <c r="I57" s="4">
        <v>517.5</v>
      </c>
      <c r="J57" s="4">
        <v>30.5</v>
      </c>
      <c r="K57" s="4">
        <v>45.72</v>
      </c>
      <c r="L57" s="4">
        <v>21.38</v>
      </c>
      <c r="M57" s="4">
        <v>55.04</v>
      </c>
      <c r="N57" s="4">
        <v>6.17</v>
      </c>
      <c r="O57" s="4">
        <v>180.06</v>
      </c>
      <c r="P57" s="4">
        <v>63.63</v>
      </c>
      <c r="Q57" s="4">
        <v>55.26</v>
      </c>
      <c r="R57" s="4">
        <v>28.97</v>
      </c>
      <c r="S57" s="4">
        <v>0.47</v>
      </c>
      <c r="T57" s="4">
        <v>-3.57</v>
      </c>
      <c r="U57" s="4">
        <v>-23.67</v>
      </c>
      <c r="V57" s="4">
        <v>0.29199999999999998</v>
      </c>
      <c r="W57" s="4">
        <v>53.7</v>
      </c>
      <c r="X57" s="4">
        <v>0.16</v>
      </c>
      <c r="Y57" s="4">
        <v>-0.21</v>
      </c>
      <c r="Z57" s="4">
        <v>-0.6</v>
      </c>
      <c r="AA57" s="4">
        <v>-5.41</v>
      </c>
      <c r="AB57" s="4">
        <f t="shared" si="0"/>
        <v>6.5928568683043416</v>
      </c>
      <c r="AC57" s="4">
        <f t="shared" si="1"/>
        <v>6.3882912829207408</v>
      </c>
      <c r="AD57" s="4">
        <f t="shared" si="2"/>
        <v>1.5758666567894857</v>
      </c>
      <c r="AE57" s="4">
        <f t="shared" si="3"/>
        <v>1.6843659508070445</v>
      </c>
      <c r="AF57">
        <f t="shared" si="4"/>
        <v>38.708516800582977</v>
      </c>
      <c r="AG57" t="s">
        <v>492</v>
      </c>
      <c r="AH57" t="s">
        <v>48</v>
      </c>
      <c r="AI57" t="s">
        <v>487</v>
      </c>
      <c r="AJ57" t="s">
        <v>488</v>
      </c>
    </row>
    <row r="58" spans="1:36" x14ac:dyDescent="0.3">
      <c r="A58" t="s">
        <v>581</v>
      </c>
      <c r="B58" t="s">
        <v>156</v>
      </c>
      <c r="C58" t="s">
        <v>484</v>
      </c>
      <c r="D58" s="9" t="s">
        <v>539</v>
      </c>
      <c r="E58" t="s">
        <v>47</v>
      </c>
      <c r="F58" t="s">
        <v>142</v>
      </c>
      <c r="G58" s="4">
        <v>6.66</v>
      </c>
      <c r="H58" s="4">
        <v>459.2</v>
      </c>
      <c r="I58" s="4">
        <v>328.2</v>
      </c>
      <c r="J58" s="4">
        <v>28.4</v>
      </c>
      <c r="K58" s="4">
        <v>31.19</v>
      </c>
      <c r="L58" s="4">
        <v>10.63</v>
      </c>
      <c r="M58" s="4">
        <v>33.909999999999997</v>
      </c>
      <c r="N58" s="4">
        <v>3.93</v>
      </c>
      <c r="O58" s="4">
        <v>115.32</v>
      </c>
      <c r="P58" s="4">
        <v>44.11</v>
      </c>
      <c r="Q58" s="4">
        <v>33.01</v>
      </c>
      <c r="R58" s="4">
        <v>11.16</v>
      </c>
      <c r="S58" s="4">
        <v>0.5</v>
      </c>
      <c r="T58" s="4">
        <v>-3.96</v>
      </c>
      <c r="U58" s="4">
        <v>-23.69</v>
      </c>
      <c r="V58" s="4">
        <v>0.20799999999999999</v>
      </c>
      <c r="W58" s="4">
        <v>49.5</v>
      </c>
      <c r="X58" s="4">
        <v>-0.5</v>
      </c>
      <c r="Y58" s="4">
        <v>-0.46</v>
      </c>
      <c r="Z58" s="4">
        <v>-1.1000000000000001</v>
      </c>
      <c r="AA58" s="4">
        <v>-5.0599999999999996</v>
      </c>
      <c r="AB58" s="4">
        <f t="shared" si="0"/>
        <v>4.0067519666718434</v>
      </c>
      <c r="AC58" s="4">
        <f t="shared" si="1"/>
        <v>4.0277616245866046</v>
      </c>
      <c r="AD58" s="4">
        <f t="shared" si="2"/>
        <v>-0.26149259287606008</v>
      </c>
      <c r="AE58" s="4">
        <f t="shared" si="3"/>
        <v>1.3378701647665547</v>
      </c>
      <c r="AF58">
        <f t="shared" si="4"/>
        <v>39.322871740701345</v>
      </c>
      <c r="AG58" t="s">
        <v>492</v>
      </c>
      <c r="AH58" t="s">
        <v>48</v>
      </c>
      <c r="AI58" t="s">
        <v>487</v>
      </c>
      <c r="AJ58" t="s">
        <v>488</v>
      </c>
    </row>
    <row r="59" spans="1:36" x14ac:dyDescent="0.3">
      <c r="A59" t="s">
        <v>582</v>
      </c>
      <c r="B59" t="s">
        <v>156</v>
      </c>
      <c r="C59" t="s">
        <v>490</v>
      </c>
      <c r="D59" s="9" t="s">
        <v>526</v>
      </c>
      <c r="E59" t="s">
        <v>47</v>
      </c>
      <c r="F59" t="s">
        <v>142</v>
      </c>
      <c r="G59" s="4">
        <v>6.94</v>
      </c>
      <c r="H59" s="4">
        <v>1021.7</v>
      </c>
      <c r="I59" s="4">
        <v>562.5</v>
      </c>
      <c r="J59" s="4">
        <v>29.3</v>
      </c>
      <c r="K59" s="4">
        <v>54.05</v>
      </c>
      <c r="L59" s="4">
        <v>19.809999999999999</v>
      </c>
      <c r="M59" s="4">
        <v>52.51</v>
      </c>
      <c r="N59" s="4">
        <v>4.74</v>
      </c>
      <c r="O59" s="4">
        <v>199.23</v>
      </c>
      <c r="P59" s="4">
        <v>73.930000000000007</v>
      </c>
      <c r="Q59" s="4">
        <v>55.41</v>
      </c>
      <c r="R59" s="4">
        <v>21.57</v>
      </c>
      <c r="S59" s="4">
        <v>0.62</v>
      </c>
      <c r="T59" s="4">
        <v>-3.14</v>
      </c>
      <c r="U59" s="4">
        <v>-21.7</v>
      </c>
      <c r="V59" s="4">
        <v>0.182</v>
      </c>
      <c r="W59" s="4">
        <v>55.7</v>
      </c>
      <c r="X59" s="4">
        <v>-0.26</v>
      </c>
      <c r="Y59" s="4">
        <v>-0.2</v>
      </c>
      <c r="Z59" s="4">
        <v>-1.01</v>
      </c>
      <c r="AA59" s="4">
        <v>-4.96</v>
      </c>
      <c r="AB59" s="4">
        <f t="shared" si="0"/>
        <v>6.7327273548599011</v>
      </c>
      <c r="AC59" s="4">
        <f t="shared" si="1"/>
        <v>6.8846698640843798</v>
      </c>
      <c r="AD59" s="4">
        <f t="shared" si="2"/>
        <v>-1.1157969968967263</v>
      </c>
      <c r="AE59" s="4">
        <f t="shared" si="3"/>
        <v>1.552835821658517</v>
      </c>
      <c r="AF59">
        <f t="shared" si="4"/>
        <v>35.726527854183736</v>
      </c>
      <c r="AG59" t="s">
        <v>497</v>
      </c>
      <c r="AH59" t="s">
        <v>48</v>
      </c>
      <c r="AI59" t="s">
        <v>487</v>
      </c>
      <c r="AJ59" t="s">
        <v>488</v>
      </c>
    </row>
    <row r="60" spans="1:36" x14ac:dyDescent="0.3">
      <c r="A60" t="s">
        <v>583</v>
      </c>
      <c r="B60" t="s">
        <v>158</v>
      </c>
      <c r="C60" t="s">
        <v>484</v>
      </c>
      <c r="D60" s="9" t="s">
        <v>494</v>
      </c>
      <c r="E60" t="s">
        <v>47</v>
      </c>
      <c r="F60" t="s">
        <v>101</v>
      </c>
      <c r="G60" s="4">
        <v>7.08</v>
      </c>
      <c r="H60" s="4">
        <v>626.20000000000005</v>
      </c>
      <c r="I60" s="4">
        <v>373.8</v>
      </c>
      <c r="J60" s="4">
        <v>28.7</v>
      </c>
      <c r="K60" s="4">
        <v>38.07</v>
      </c>
      <c r="L60" s="4">
        <v>12.34</v>
      </c>
      <c r="M60" s="4">
        <v>29.77</v>
      </c>
      <c r="N60" s="4">
        <v>4.29</v>
      </c>
      <c r="O60" s="4">
        <v>127.1</v>
      </c>
      <c r="P60" s="4">
        <v>45.73</v>
      </c>
      <c r="Q60" s="4">
        <v>41.93</v>
      </c>
      <c r="R60" s="4">
        <v>10.43</v>
      </c>
      <c r="S60" s="4">
        <v>0.74</v>
      </c>
      <c r="T60" s="4">
        <v>-4.24</v>
      </c>
      <c r="U60" s="4">
        <v>-25.62</v>
      </c>
      <c r="V60" s="4">
        <v>0.189</v>
      </c>
      <c r="W60" s="4">
        <v>70.099999999999994</v>
      </c>
      <c r="X60" s="4">
        <v>-0.68</v>
      </c>
      <c r="Y60" s="4">
        <v>-0.85</v>
      </c>
      <c r="Z60" s="4">
        <v>-0.73</v>
      </c>
      <c r="AA60" s="4">
        <v>-4.78</v>
      </c>
      <c r="AB60" s="4">
        <f t="shared" si="0"/>
        <v>4.3199157638397949</v>
      </c>
      <c r="AC60" s="4">
        <f t="shared" si="1"/>
        <v>4.4530969441045976</v>
      </c>
      <c r="AD60" s="4">
        <f t="shared" si="2"/>
        <v>-1.5180780502483548</v>
      </c>
      <c r="AE60" s="4">
        <f t="shared" si="3"/>
        <v>1.072599926306723</v>
      </c>
      <c r="AF60">
        <f t="shared" si="4"/>
        <v>32.5166396191375</v>
      </c>
      <c r="AG60" t="s">
        <v>486</v>
      </c>
      <c r="AH60" t="s">
        <v>48</v>
      </c>
      <c r="AI60" t="s">
        <v>487</v>
      </c>
      <c r="AJ60" t="s">
        <v>488</v>
      </c>
    </row>
    <row r="61" spans="1:36" x14ac:dyDescent="0.3">
      <c r="A61" t="s">
        <v>584</v>
      </c>
      <c r="B61" t="s">
        <v>158</v>
      </c>
      <c r="C61" t="s">
        <v>490</v>
      </c>
      <c r="D61" s="9" t="s">
        <v>546</v>
      </c>
      <c r="E61" t="s">
        <v>47</v>
      </c>
      <c r="F61" t="s">
        <v>101</v>
      </c>
      <c r="G61" s="4">
        <v>7.3</v>
      </c>
      <c r="H61" s="4">
        <v>687.5</v>
      </c>
      <c r="I61" s="4">
        <v>461.2</v>
      </c>
      <c r="J61" s="4">
        <v>30</v>
      </c>
      <c r="K61" s="4">
        <v>43.48</v>
      </c>
      <c r="L61" s="4">
        <v>13.85</v>
      </c>
      <c r="M61" s="4">
        <v>47.6</v>
      </c>
      <c r="N61" s="4">
        <v>6.3</v>
      </c>
      <c r="O61" s="4">
        <v>164.59</v>
      </c>
      <c r="P61" s="4">
        <v>59.48</v>
      </c>
      <c r="Q61" s="4">
        <v>25.48</v>
      </c>
      <c r="R61" s="4">
        <v>20.63</v>
      </c>
      <c r="S61" s="4">
        <v>0.89</v>
      </c>
      <c r="T61" s="4">
        <v>-3.67</v>
      </c>
      <c r="U61" s="4">
        <v>-21.16</v>
      </c>
      <c r="V61" s="4">
        <v>0.17899999999999999</v>
      </c>
      <c r="W61" s="4">
        <v>56.3</v>
      </c>
      <c r="X61" s="4">
        <v>0.01</v>
      </c>
      <c r="Y61" s="4">
        <v>-7.0000000000000007E-2</v>
      </c>
      <c r="Z61" s="4">
        <v>-1.26</v>
      </c>
      <c r="AA61" s="4">
        <v>-4.6100000000000003</v>
      </c>
      <c r="AB61" s="4">
        <f t="shared" si="0"/>
        <v>5.5411411881812587</v>
      </c>
      <c r="AC61" s="4">
        <f t="shared" si="1"/>
        <v>5.2852677864089532</v>
      </c>
      <c r="AD61" s="4">
        <f t="shared" si="2"/>
        <v>2.3634189542704807</v>
      </c>
      <c r="AE61" s="4">
        <f t="shared" si="3"/>
        <v>1.6096216973960242</v>
      </c>
      <c r="AF61">
        <f t="shared" si="4"/>
        <v>40.274899503303033</v>
      </c>
      <c r="AG61" t="s">
        <v>492</v>
      </c>
      <c r="AH61" t="s">
        <v>48</v>
      </c>
      <c r="AI61" t="s">
        <v>487</v>
      </c>
      <c r="AJ61" t="s">
        <v>488</v>
      </c>
    </row>
    <row r="62" spans="1:36" x14ac:dyDescent="0.3">
      <c r="A62" t="s">
        <v>585</v>
      </c>
      <c r="B62" t="s">
        <v>160</v>
      </c>
      <c r="C62" t="s">
        <v>484</v>
      </c>
      <c r="D62" s="9" t="s">
        <v>586</v>
      </c>
      <c r="E62" t="s">
        <v>47</v>
      </c>
      <c r="F62" t="s">
        <v>75</v>
      </c>
      <c r="G62" s="4">
        <v>7.51</v>
      </c>
      <c r="H62" s="4">
        <v>743.1</v>
      </c>
      <c r="I62" s="4">
        <v>428.6</v>
      </c>
      <c r="J62" s="4">
        <v>27.8</v>
      </c>
      <c r="K62" s="4">
        <v>29.12</v>
      </c>
      <c r="L62" s="4">
        <v>13.82</v>
      </c>
      <c r="M62" s="4">
        <v>42.93</v>
      </c>
      <c r="N62" s="4">
        <v>5.48</v>
      </c>
      <c r="O62" s="4">
        <v>129.16999999999999</v>
      </c>
      <c r="P62" s="4">
        <v>37.1</v>
      </c>
      <c r="Q62" s="4">
        <v>43.7</v>
      </c>
      <c r="R62" s="4">
        <v>70.099999999999994</v>
      </c>
      <c r="S62" s="4">
        <v>0.3</v>
      </c>
      <c r="T62" s="4">
        <v>-3.73</v>
      </c>
      <c r="U62" s="4">
        <v>-23.66</v>
      </c>
      <c r="V62" s="4">
        <v>0.23499999999999999</v>
      </c>
      <c r="W62" s="4">
        <v>54.1</v>
      </c>
      <c r="X62" s="4">
        <v>-0.56000000000000005</v>
      </c>
      <c r="Y62" s="4">
        <v>-0.78</v>
      </c>
      <c r="Z62" s="4">
        <v>-0.91</v>
      </c>
      <c r="AA62" s="4">
        <v>-5.54</v>
      </c>
      <c r="AB62" s="4">
        <f t="shared" si="0"/>
        <v>4.5979563631767082</v>
      </c>
      <c r="AC62" s="4">
        <f t="shared" si="1"/>
        <v>5.2196365383000787</v>
      </c>
      <c r="AD62" s="4">
        <f t="shared" si="2"/>
        <v>-6.3323075356878551</v>
      </c>
      <c r="AE62" s="4">
        <f t="shared" si="3"/>
        <v>1.6408693099004559</v>
      </c>
      <c r="AF62">
        <f t="shared" si="4"/>
        <v>43.662342876616371</v>
      </c>
      <c r="AG62" t="s">
        <v>521</v>
      </c>
      <c r="AH62" t="s">
        <v>506</v>
      </c>
      <c r="AI62" t="s">
        <v>542</v>
      </c>
      <c r="AJ62" t="s">
        <v>543</v>
      </c>
    </row>
    <row r="63" spans="1:36" x14ac:dyDescent="0.3">
      <c r="A63" t="s">
        <v>587</v>
      </c>
      <c r="B63" t="s">
        <v>160</v>
      </c>
      <c r="C63" t="s">
        <v>490</v>
      </c>
      <c r="D63" s="9" t="s">
        <v>588</v>
      </c>
      <c r="E63" t="s">
        <v>47</v>
      </c>
      <c r="F63" t="s">
        <v>75</v>
      </c>
      <c r="G63" s="4">
        <v>7.11</v>
      </c>
      <c r="H63" s="4">
        <v>782.5</v>
      </c>
      <c r="I63" s="4">
        <v>478.8</v>
      </c>
      <c r="J63" s="4">
        <v>30.4</v>
      </c>
      <c r="K63" s="4">
        <v>36.26</v>
      </c>
      <c r="L63" s="4">
        <v>20.5</v>
      </c>
      <c r="M63" s="4">
        <v>53.68</v>
      </c>
      <c r="N63" s="4">
        <v>7.32</v>
      </c>
      <c r="O63" s="4">
        <v>173.07</v>
      </c>
      <c r="P63" s="4">
        <v>56.81</v>
      </c>
      <c r="Q63" s="4">
        <v>39.1</v>
      </c>
      <c r="R63" s="4">
        <v>38.33</v>
      </c>
      <c r="S63" s="4">
        <v>0.5</v>
      </c>
      <c r="T63" s="4">
        <v>-3.84</v>
      </c>
      <c r="U63" s="4">
        <v>-24.38</v>
      </c>
      <c r="V63" s="4">
        <v>0.27500000000000002</v>
      </c>
      <c r="W63" s="4">
        <v>50.8</v>
      </c>
      <c r="X63" s="4">
        <v>-0.26</v>
      </c>
      <c r="Y63" s="4">
        <v>-0.55000000000000004</v>
      </c>
      <c r="Z63" s="4">
        <v>-1.23</v>
      </c>
      <c r="AA63" s="4">
        <v>-4.1500000000000004</v>
      </c>
      <c r="AB63" s="4">
        <f t="shared" si="0"/>
        <v>6.0186188806282086</v>
      </c>
      <c r="AC63" s="4">
        <f t="shared" si="1"/>
        <v>5.8974423516577712</v>
      </c>
      <c r="AD63" s="4">
        <f t="shared" si="2"/>
        <v>1.0169176425689688</v>
      </c>
      <c r="AE63" s="4">
        <f t="shared" si="3"/>
        <v>1.7660333642449064</v>
      </c>
      <c r="AF63">
        <f t="shared" si="4"/>
        <v>41.90748242520872</v>
      </c>
      <c r="AG63" t="s">
        <v>521</v>
      </c>
      <c r="AH63" t="s">
        <v>48</v>
      </c>
      <c r="AI63" t="s">
        <v>487</v>
      </c>
      <c r="AJ63" t="s">
        <v>488</v>
      </c>
    </row>
    <row r="64" spans="1:36" x14ac:dyDescent="0.3">
      <c r="A64" t="s">
        <v>589</v>
      </c>
      <c r="B64" t="s">
        <v>162</v>
      </c>
      <c r="C64" t="s">
        <v>484</v>
      </c>
      <c r="D64" s="9" t="s">
        <v>548</v>
      </c>
      <c r="E64" t="s">
        <v>47</v>
      </c>
      <c r="F64" t="s">
        <v>142</v>
      </c>
      <c r="G64" s="4">
        <v>7.09</v>
      </c>
      <c r="H64" s="4">
        <v>559.20000000000005</v>
      </c>
      <c r="I64" s="4">
        <v>378.3</v>
      </c>
      <c r="J64" s="4">
        <v>28.4</v>
      </c>
      <c r="K64" s="4">
        <v>33.340000000000003</v>
      </c>
      <c r="L64" s="4">
        <v>11.28</v>
      </c>
      <c r="M64" s="4">
        <v>39.799999999999997</v>
      </c>
      <c r="N64" s="4">
        <v>3.43</v>
      </c>
      <c r="O64" s="4">
        <v>142.09</v>
      </c>
      <c r="P64" s="4">
        <v>32.64</v>
      </c>
      <c r="Q64" s="4">
        <v>36.72</v>
      </c>
      <c r="R64" s="4">
        <v>23.46</v>
      </c>
      <c r="S64" s="4">
        <v>0.67</v>
      </c>
      <c r="T64" s="4">
        <v>-4.1500000000000004</v>
      </c>
      <c r="U64" s="4">
        <v>-23.44</v>
      </c>
      <c r="V64" s="4">
        <v>0.17100000000000001</v>
      </c>
      <c r="W64" s="4">
        <v>39.9</v>
      </c>
      <c r="X64" s="4">
        <v>0.09</v>
      </c>
      <c r="Y64" s="4">
        <v>-0.15</v>
      </c>
      <c r="Z64" s="4">
        <v>-1.34</v>
      </c>
      <c r="AA64" s="4">
        <v>-5.0599999999999996</v>
      </c>
      <c r="AB64" s="4">
        <f t="shared" si="0"/>
        <v>4.4109508000631061</v>
      </c>
      <c r="AC64" s="4">
        <f t="shared" si="1"/>
        <v>4.4275352009070881</v>
      </c>
      <c r="AD64" s="4">
        <f t="shared" si="2"/>
        <v>-0.18763848064206337</v>
      </c>
      <c r="AE64" s="4">
        <f t="shared" si="3"/>
        <v>1.5207711429053874</v>
      </c>
      <c r="AF64">
        <f t="shared" si="4"/>
        <v>41.238071627780627</v>
      </c>
      <c r="AG64" t="s">
        <v>492</v>
      </c>
      <c r="AH64" t="s">
        <v>500</v>
      </c>
      <c r="AI64" t="s">
        <v>487</v>
      </c>
      <c r="AJ64" t="s">
        <v>488</v>
      </c>
    </row>
    <row r="65" spans="1:36" x14ac:dyDescent="0.3">
      <c r="A65" t="s">
        <v>590</v>
      </c>
      <c r="B65" t="s">
        <v>162</v>
      </c>
      <c r="C65" t="s">
        <v>490</v>
      </c>
      <c r="D65" s="9" t="s">
        <v>535</v>
      </c>
      <c r="E65" t="s">
        <v>47</v>
      </c>
      <c r="F65" t="s">
        <v>142</v>
      </c>
      <c r="G65" s="4">
        <v>6.84</v>
      </c>
      <c r="H65" s="4">
        <v>1041.4000000000001</v>
      </c>
      <c r="I65" s="4">
        <v>577.29999999999995</v>
      </c>
      <c r="J65" s="4">
        <v>28.7</v>
      </c>
      <c r="K65" s="4">
        <v>52.79</v>
      </c>
      <c r="L65" s="4">
        <v>17.89</v>
      </c>
      <c r="M65" s="4">
        <v>60</v>
      </c>
      <c r="N65" s="4">
        <v>5.03</v>
      </c>
      <c r="O65" s="4">
        <v>227.81</v>
      </c>
      <c r="P65" s="4">
        <v>64.52</v>
      </c>
      <c r="Q65" s="4">
        <v>51.25</v>
      </c>
      <c r="R65" s="4">
        <v>23.62</v>
      </c>
      <c r="S65" s="4">
        <v>1.3</v>
      </c>
      <c r="T65" s="4">
        <v>-4.07</v>
      </c>
      <c r="U65" s="4">
        <v>-22.56</v>
      </c>
      <c r="V65" s="4">
        <v>0.17499999999999999</v>
      </c>
      <c r="W65" s="4">
        <v>60.7</v>
      </c>
      <c r="X65" s="4">
        <v>-0.31</v>
      </c>
      <c r="Y65" s="4">
        <v>-0.12</v>
      </c>
      <c r="Z65" s="4">
        <v>-0.93</v>
      </c>
      <c r="AA65" s="4">
        <v>-4.57</v>
      </c>
      <c r="AB65" s="4">
        <f t="shared" si="0"/>
        <v>6.8450830374131169</v>
      </c>
      <c r="AC65" s="4">
        <f t="shared" si="1"/>
        <v>7.069892379431348</v>
      </c>
      <c r="AD65" s="4">
        <f t="shared" si="2"/>
        <v>-1.6155928076315043</v>
      </c>
      <c r="AE65" s="4">
        <f t="shared" si="3"/>
        <v>1.8214232890362629</v>
      </c>
      <c r="AF65">
        <f t="shared" si="4"/>
        <v>40.008206666521083</v>
      </c>
      <c r="AG65" t="s">
        <v>492</v>
      </c>
      <c r="AH65" t="s">
        <v>48</v>
      </c>
      <c r="AI65" t="s">
        <v>487</v>
      </c>
      <c r="AJ65" t="s">
        <v>488</v>
      </c>
    </row>
    <row r="66" spans="1:36" x14ac:dyDescent="0.3">
      <c r="A66" t="s">
        <v>591</v>
      </c>
      <c r="B66" t="s">
        <v>164</v>
      </c>
      <c r="C66" t="s">
        <v>484</v>
      </c>
      <c r="D66" s="9" t="s">
        <v>512</v>
      </c>
      <c r="E66" t="s">
        <v>47</v>
      </c>
      <c r="F66" t="s">
        <v>101</v>
      </c>
      <c r="G66" s="4">
        <v>7.19</v>
      </c>
      <c r="H66" s="4">
        <v>427</v>
      </c>
      <c r="I66" s="4">
        <v>289.5</v>
      </c>
      <c r="J66" s="4">
        <v>29.4</v>
      </c>
      <c r="K66" s="4">
        <v>33.76</v>
      </c>
      <c r="L66" s="4">
        <v>8.3699999999999992</v>
      </c>
      <c r="M66" s="4">
        <v>15.49</v>
      </c>
      <c r="N66" s="4">
        <v>3.54</v>
      </c>
      <c r="O66" s="4">
        <v>113.58</v>
      </c>
      <c r="P66" s="4">
        <v>20.43</v>
      </c>
      <c r="Q66" s="4">
        <v>27.69</v>
      </c>
      <c r="R66" s="4">
        <v>11.91</v>
      </c>
      <c r="S66" s="4">
        <v>0.48</v>
      </c>
      <c r="T66" s="4">
        <v>-3.78</v>
      </c>
      <c r="U66" s="4">
        <v>-26.34</v>
      </c>
      <c r="V66" s="4">
        <v>0.09</v>
      </c>
      <c r="W66" s="4">
        <v>56.4</v>
      </c>
      <c r="X66" s="4">
        <v>-0.47</v>
      </c>
      <c r="Y66" s="4">
        <v>-1.07</v>
      </c>
      <c r="Z66" s="4">
        <v>-1.2</v>
      </c>
      <c r="AA66" s="4">
        <v>-5.31</v>
      </c>
      <c r="AB66" s="4">
        <f t="shared" ref="AB66:AB129" si="5">K66/20.039+L66/12.1525+M66/22.989+N66/39.098</f>
        <v>3.1378042064697134</v>
      </c>
      <c r="AC66" s="4">
        <f t="shared" ref="AC66:AC129" si="6">O66/61.016+P66/35.453+Q66/48.03+R66/62.0049+S66/18.998</f>
        <v>3.2315969337484858</v>
      </c>
      <c r="AD66" s="4">
        <f t="shared" ref="AD66:AD129" si="7">100*(AB66-AC66)/(AB66+AC66)</f>
        <v>-1.4725517393862764</v>
      </c>
      <c r="AE66" s="4">
        <f t="shared" ref="AE66:AE129" si="8">(M66/22.989)/SQRT(((K66/20.039)+(L66/12.1525))/2)</f>
        <v>0.61852206325266779</v>
      </c>
      <c r="AF66">
        <f t="shared" ref="AF66:AF129" si="9">100*((M66/22.989)+(N66/39.098))/AB66</f>
        <v>24.359143486447611</v>
      </c>
      <c r="AG66" t="s">
        <v>486</v>
      </c>
      <c r="AH66" t="s">
        <v>48</v>
      </c>
      <c r="AI66" t="s">
        <v>487</v>
      </c>
      <c r="AJ66" t="s">
        <v>488</v>
      </c>
    </row>
    <row r="67" spans="1:36" x14ac:dyDescent="0.3">
      <c r="A67" t="s">
        <v>592</v>
      </c>
      <c r="B67" t="s">
        <v>164</v>
      </c>
      <c r="C67" t="s">
        <v>490</v>
      </c>
      <c r="D67" s="9" t="s">
        <v>572</v>
      </c>
      <c r="E67" t="s">
        <v>47</v>
      </c>
      <c r="F67" t="s">
        <v>101</v>
      </c>
      <c r="G67" s="4">
        <v>7.1</v>
      </c>
      <c r="H67" s="4">
        <v>753.7</v>
      </c>
      <c r="I67" s="4">
        <v>484.2</v>
      </c>
      <c r="J67" s="4">
        <v>29.8</v>
      </c>
      <c r="K67" s="4">
        <v>44.03</v>
      </c>
      <c r="L67" s="4">
        <v>14.59</v>
      </c>
      <c r="M67" s="4">
        <v>50.87</v>
      </c>
      <c r="N67" s="4">
        <v>5.7</v>
      </c>
      <c r="O67" s="4">
        <v>170.43</v>
      </c>
      <c r="P67" s="4">
        <v>76.25</v>
      </c>
      <c r="Q67" s="4">
        <v>43.7</v>
      </c>
      <c r="R67" s="4">
        <v>10.01</v>
      </c>
      <c r="S67" s="4">
        <v>0.96</v>
      </c>
      <c r="T67" s="4">
        <v>-3.58</v>
      </c>
      <c r="U67" s="4">
        <v>-23.13</v>
      </c>
      <c r="V67" s="4">
        <v>0.187</v>
      </c>
      <c r="W67" s="4">
        <v>68.7</v>
      </c>
      <c r="X67" s="4">
        <v>-0.33</v>
      </c>
      <c r="Y67" s="4">
        <v>-0.45</v>
      </c>
      <c r="Z67" s="4">
        <v>-0.7</v>
      </c>
      <c r="AA67" s="4">
        <v>-4.96</v>
      </c>
      <c r="AB67" s="4">
        <f t="shared" si="5"/>
        <v>5.7563763762454982</v>
      </c>
      <c r="AC67" s="4">
        <f t="shared" si="6"/>
        <v>6.0657550593516438</v>
      </c>
      <c r="AD67" s="4">
        <f t="shared" si="7"/>
        <v>-2.6169450474437115</v>
      </c>
      <c r="AE67" s="4">
        <f t="shared" si="8"/>
        <v>1.6976896306978158</v>
      </c>
      <c r="AF67">
        <f t="shared" si="9"/>
        <v>40.973431530656086</v>
      </c>
      <c r="AG67" t="s">
        <v>492</v>
      </c>
      <c r="AH67" t="s">
        <v>48</v>
      </c>
      <c r="AI67" t="s">
        <v>487</v>
      </c>
      <c r="AJ67" t="s">
        <v>488</v>
      </c>
    </row>
    <row r="68" spans="1:36" x14ac:dyDescent="0.3">
      <c r="A68" t="s">
        <v>593</v>
      </c>
      <c r="B68" t="s">
        <v>166</v>
      </c>
      <c r="C68" t="s">
        <v>484</v>
      </c>
      <c r="D68" s="9" t="s">
        <v>565</v>
      </c>
      <c r="E68" t="s">
        <v>47</v>
      </c>
      <c r="F68" t="s">
        <v>75</v>
      </c>
      <c r="G68" s="4">
        <v>6.68</v>
      </c>
      <c r="H68" s="4">
        <v>639</v>
      </c>
      <c r="I68" s="4">
        <v>406.1</v>
      </c>
      <c r="J68" s="4">
        <v>29.5</v>
      </c>
      <c r="K68" s="4">
        <v>31.51</v>
      </c>
      <c r="L68" s="4">
        <v>10.130000000000001</v>
      </c>
      <c r="M68" s="4">
        <v>43.5</v>
      </c>
      <c r="N68" s="4">
        <v>4.1900000000000004</v>
      </c>
      <c r="O68" s="4">
        <v>129.80000000000001</v>
      </c>
      <c r="P68" s="4">
        <v>32.270000000000003</v>
      </c>
      <c r="Q68" s="4">
        <v>42.02</v>
      </c>
      <c r="R68" s="4">
        <v>49.5</v>
      </c>
      <c r="S68" s="4">
        <v>0.49</v>
      </c>
      <c r="T68" s="4">
        <v>-4.74</v>
      </c>
      <c r="U68" s="4">
        <v>-28.63</v>
      </c>
      <c r="V68" s="4">
        <v>0.28299999999999997</v>
      </c>
      <c r="W68" s="4">
        <v>56.5</v>
      </c>
      <c r="X68" s="4">
        <v>-0.28000000000000003</v>
      </c>
      <c r="Y68" s="4">
        <v>-1.19</v>
      </c>
      <c r="Z68" s="4">
        <v>-1.31</v>
      </c>
      <c r="AA68" s="4">
        <v>-4.57</v>
      </c>
      <c r="AB68" s="4">
        <f t="shared" si="5"/>
        <v>4.4053830174857671</v>
      </c>
      <c r="AC68" s="4">
        <f t="shared" si="6"/>
        <v>4.7365160977526362</v>
      </c>
      <c r="AD68" s="4">
        <f t="shared" si="7"/>
        <v>-3.6221476095148728</v>
      </c>
      <c r="AE68" s="4">
        <f t="shared" si="8"/>
        <v>1.7251851963459759</v>
      </c>
      <c r="AF68">
        <f t="shared" si="9"/>
        <v>45.38483751699583</v>
      </c>
      <c r="AG68" t="s">
        <v>521</v>
      </c>
      <c r="AH68" t="s">
        <v>500</v>
      </c>
      <c r="AI68" t="s">
        <v>487</v>
      </c>
      <c r="AJ68" t="s">
        <v>488</v>
      </c>
    </row>
    <row r="69" spans="1:36" x14ac:dyDescent="0.3">
      <c r="A69" t="s">
        <v>594</v>
      </c>
      <c r="B69" t="s">
        <v>166</v>
      </c>
      <c r="C69" t="s">
        <v>490</v>
      </c>
      <c r="D69" s="9" t="s">
        <v>529</v>
      </c>
      <c r="E69" t="s">
        <v>47</v>
      </c>
      <c r="F69" t="s">
        <v>75</v>
      </c>
      <c r="G69" s="4">
        <v>7.34</v>
      </c>
      <c r="H69" s="4">
        <v>844.5</v>
      </c>
      <c r="I69" s="4">
        <v>597.1</v>
      </c>
      <c r="J69" s="4">
        <v>28.7</v>
      </c>
      <c r="K69" s="4">
        <v>52.35</v>
      </c>
      <c r="L69" s="4">
        <v>19.95</v>
      </c>
      <c r="M69" s="4">
        <v>68.81</v>
      </c>
      <c r="N69" s="4">
        <v>6.09</v>
      </c>
      <c r="O69" s="4">
        <v>207.23</v>
      </c>
      <c r="P69" s="4">
        <v>70.25</v>
      </c>
      <c r="Q69" s="4">
        <v>51.25</v>
      </c>
      <c r="R69" s="4">
        <v>43.77</v>
      </c>
      <c r="S69" s="4">
        <v>0.56999999999999995</v>
      </c>
      <c r="T69" s="4">
        <v>-3.24</v>
      </c>
      <c r="U69" s="4">
        <v>-21.39</v>
      </c>
      <c r="V69" s="4">
        <v>0.253</v>
      </c>
      <c r="W69" s="4">
        <v>60</v>
      </c>
      <c r="X69" s="4">
        <v>-0.27</v>
      </c>
      <c r="Y69" s="4">
        <v>-0.53</v>
      </c>
      <c r="Z69" s="4">
        <v>-1.25</v>
      </c>
      <c r="AA69" s="4">
        <v>-5.28</v>
      </c>
      <c r="AB69" s="4">
        <f t="shared" si="5"/>
        <v>7.4029764217392851</v>
      </c>
      <c r="AC69" s="4">
        <f t="shared" si="6"/>
        <v>7.1807754482497028</v>
      </c>
      <c r="AD69" s="4">
        <f t="shared" si="7"/>
        <v>1.5236200908412056</v>
      </c>
      <c r="AE69" s="4">
        <f t="shared" si="8"/>
        <v>2.0523220950877459</v>
      </c>
      <c r="AF69">
        <f t="shared" si="9"/>
        <v>42.536041053376593</v>
      </c>
      <c r="AG69" t="s">
        <v>492</v>
      </c>
      <c r="AH69" t="s">
        <v>48</v>
      </c>
      <c r="AI69" t="s">
        <v>487</v>
      </c>
      <c r="AJ69" t="s">
        <v>488</v>
      </c>
    </row>
    <row r="70" spans="1:36" x14ac:dyDescent="0.3">
      <c r="A70" t="s">
        <v>595</v>
      </c>
      <c r="B70" t="s">
        <v>169</v>
      </c>
      <c r="C70" t="s">
        <v>484</v>
      </c>
      <c r="D70" s="9" t="s">
        <v>485</v>
      </c>
      <c r="E70" t="s">
        <v>47</v>
      </c>
      <c r="F70" t="s">
        <v>75</v>
      </c>
      <c r="G70" s="4">
        <v>6.96</v>
      </c>
      <c r="H70" s="4">
        <v>590.70000000000005</v>
      </c>
      <c r="I70" s="4">
        <v>349.2</v>
      </c>
      <c r="J70" s="4">
        <v>28.5</v>
      </c>
      <c r="K70" s="4">
        <v>27.6</v>
      </c>
      <c r="L70" s="4">
        <v>11.25</v>
      </c>
      <c r="M70" s="4">
        <v>45.2</v>
      </c>
      <c r="N70" s="4">
        <v>3.14</v>
      </c>
      <c r="O70" s="4">
        <v>118.46</v>
      </c>
      <c r="P70" s="4">
        <v>36.44</v>
      </c>
      <c r="Q70" s="4">
        <v>38.4</v>
      </c>
      <c r="R70" s="4">
        <v>21.24</v>
      </c>
      <c r="S70" s="4">
        <v>0.31</v>
      </c>
      <c r="T70" s="4">
        <v>-3.93</v>
      </c>
      <c r="U70" s="4">
        <v>-24.69</v>
      </c>
      <c r="V70" s="4">
        <v>0.24299999999999999</v>
      </c>
      <c r="W70" s="4">
        <v>47.1</v>
      </c>
      <c r="X70" s="4">
        <v>-0.22</v>
      </c>
      <c r="Y70" s="4">
        <v>-0.2</v>
      </c>
      <c r="Z70" s="4">
        <v>-0.9</v>
      </c>
      <c r="AA70" s="4">
        <v>-5.35</v>
      </c>
      <c r="AB70" s="4">
        <f t="shared" si="5"/>
        <v>4.3495184235789193</v>
      </c>
      <c r="AC70" s="4">
        <f t="shared" si="6"/>
        <v>4.127669045087754</v>
      </c>
      <c r="AD70" s="4">
        <f t="shared" si="7"/>
        <v>2.6170163077219124</v>
      </c>
      <c r="AE70" s="4">
        <f t="shared" si="8"/>
        <v>1.8322372106373741</v>
      </c>
      <c r="AF70">
        <f t="shared" si="9"/>
        <v>47.050467239451876</v>
      </c>
      <c r="AG70" t="s">
        <v>521</v>
      </c>
      <c r="AH70" t="s">
        <v>500</v>
      </c>
      <c r="AI70" t="s">
        <v>487</v>
      </c>
      <c r="AJ70" t="s">
        <v>488</v>
      </c>
    </row>
    <row r="71" spans="1:36" x14ac:dyDescent="0.3">
      <c r="A71" t="s">
        <v>596</v>
      </c>
      <c r="B71" t="s">
        <v>169</v>
      </c>
      <c r="C71" t="s">
        <v>490</v>
      </c>
      <c r="D71" s="9" t="s">
        <v>597</v>
      </c>
      <c r="E71" t="s">
        <v>47</v>
      </c>
      <c r="F71" t="s">
        <v>75</v>
      </c>
      <c r="G71" s="4">
        <v>7.48</v>
      </c>
      <c r="H71" s="4">
        <v>915.6</v>
      </c>
      <c r="I71" s="4">
        <v>515.9</v>
      </c>
      <c r="J71" s="4">
        <v>30.7</v>
      </c>
      <c r="K71" s="4">
        <v>42.3</v>
      </c>
      <c r="L71" s="4">
        <v>22.27</v>
      </c>
      <c r="M71" s="4">
        <v>54.33</v>
      </c>
      <c r="N71" s="4">
        <v>3.9</v>
      </c>
      <c r="O71" s="4">
        <v>193.69</v>
      </c>
      <c r="P71" s="4">
        <v>71.14</v>
      </c>
      <c r="Q71" s="4">
        <v>68.17</v>
      </c>
      <c r="R71" s="4">
        <v>14.89</v>
      </c>
      <c r="S71" s="4">
        <v>0.79</v>
      </c>
      <c r="T71" s="4">
        <v>-3.91</v>
      </c>
      <c r="U71" s="4">
        <v>-24.43</v>
      </c>
      <c r="V71" s="4">
        <v>0.14000000000000001</v>
      </c>
      <c r="W71" s="4">
        <v>29.9</v>
      </c>
      <c r="X71" s="4">
        <v>-0.49</v>
      </c>
      <c r="Y71" s="4">
        <v>-0.89</v>
      </c>
      <c r="Z71" s="4">
        <v>-0.91</v>
      </c>
      <c r="AA71" s="4">
        <v>-5.04</v>
      </c>
      <c r="AB71" s="4">
        <f t="shared" si="5"/>
        <v>6.4064820572680832</v>
      </c>
      <c r="AC71" s="4">
        <f t="shared" si="6"/>
        <v>6.8820604497969997</v>
      </c>
      <c r="AD71" s="4">
        <f t="shared" si="7"/>
        <v>-3.578860452725098</v>
      </c>
      <c r="AE71" s="4">
        <f t="shared" si="8"/>
        <v>1.6830523944270201</v>
      </c>
      <c r="AF71">
        <f t="shared" si="9"/>
        <v>38.446272302571359</v>
      </c>
      <c r="AG71" t="s">
        <v>492</v>
      </c>
      <c r="AH71" t="s">
        <v>48</v>
      </c>
      <c r="AI71" t="s">
        <v>487</v>
      </c>
      <c r="AJ71" t="s">
        <v>488</v>
      </c>
    </row>
    <row r="72" spans="1:36" x14ac:dyDescent="0.3">
      <c r="A72" t="s">
        <v>598</v>
      </c>
      <c r="B72" t="s">
        <v>171</v>
      </c>
      <c r="C72" t="s">
        <v>484</v>
      </c>
      <c r="D72" s="9" t="s">
        <v>512</v>
      </c>
      <c r="E72" t="s">
        <v>47</v>
      </c>
      <c r="F72" t="s">
        <v>75</v>
      </c>
      <c r="G72" s="4">
        <v>7.54</v>
      </c>
      <c r="H72" s="4">
        <v>673.8</v>
      </c>
      <c r="I72" s="4">
        <v>416.7</v>
      </c>
      <c r="J72" s="4">
        <v>29.3</v>
      </c>
      <c r="K72" s="4">
        <v>41.93</v>
      </c>
      <c r="L72" s="4">
        <v>10.96</v>
      </c>
      <c r="M72" s="4">
        <v>43.73</v>
      </c>
      <c r="N72" s="4">
        <v>4.2699999999999996</v>
      </c>
      <c r="O72" s="4">
        <v>143.49</v>
      </c>
      <c r="P72" s="4">
        <v>41.47</v>
      </c>
      <c r="Q72" s="4">
        <v>54.64</v>
      </c>
      <c r="R72" s="4">
        <v>10.96</v>
      </c>
      <c r="S72" s="4">
        <v>1.25</v>
      </c>
      <c r="T72" s="4">
        <v>-3.94</v>
      </c>
      <c r="U72" s="4">
        <v>-24.76</v>
      </c>
      <c r="V72" s="4">
        <v>0.221</v>
      </c>
      <c r="W72" s="4">
        <v>61.2</v>
      </c>
      <c r="X72" s="4">
        <v>-0.33</v>
      </c>
      <c r="Y72" s="4">
        <v>-0.67</v>
      </c>
      <c r="Z72" s="4">
        <v>-1.1599999999999999</v>
      </c>
      <c r="AA72" s="4">
        <v>-4.72</v>
      </c>
      <c r="AB72" s="4">
        <f t="shared" si="5"/>
        <v>5.0057186740676798</v>
      </c>
      <c r="AC72" s="4">
        <f t="shared" si="6"/>
        <v>4.9015748454810959</v>
      </c>
      <c r="AD72" s="4">
        <f t="shared" si="7"/>
        <v>1.0511834375461915</v>
      </c>
      <c r="AE72" s="4">
        <f t="shared" si="8"/>
        <v>1.554631032879991</v>
      </c>
      <c r="AF72">
        <f t="shared" si="9"/>
        <v>40.182578782786692</v>
      </c>
      <c r="AG72" t="s">
        <v>497</v>
      </c>
      <c r="AH72" t="s">
        <v>500</v>
      </c>
      <c r="AI72" t="s">
        <v>487</v>
      </c>
      <c r="AJ72" t="s">
        <v>488</v>
      </c>
    </row>
    <row r="73" spans="1:36" x14ac:dyDescent="0.3">
      <c r="A73" t="s">
        <v>599</v>
      </c>
      <c r="B73" t="s">
        <v>171</v>
      </c>
      <c r="C73" t="s">
        <v>490</v>
      </c>
      <c r="D73" s="9" t="s">
        <v>529</v>
      </c>
      <c r="E73" t="s">
        <v>47</v>
      </c>
      <c r="F73" t="s">
        <v>75</v>
      </c>
      <c r="G73" s="4">
        <v>7.36</v>
      </c>
      <c r="H73" s="4">
        <v>733</v>
      </c>
      <c r="I73" s="4">
        <v>490.5</v>
      </c>
      <c r="J73" s="4">
        <v>29.5</v>
      </c>
      <c r="K73" s="4">
        <v>51.52</v>
      </c>
      <c r="L73" s="4">
        <v>18.55</v>
      </c>
      <c r="M73" s="4">
        <v>50.72</v>
      </c>
      <c r="N73" s="4">
        <v>6.31</v>
      </c>
      <c r="O73" s="4">
        <v>180.3</v>
      </c>
      <c r="P73" s="4">
        <v>62.73</v>
      </c>
      <c r="Q73" s="4">
        <v>48.71</v>
      </c>
      <c r="R73" s="4">
        <v>17.260000000000002</v>
      </c>
      <c r="S73" s="4">
        <v>1.51</v>
      </c>
      <c r="T73" s="4">
        <v>-3.38</v>
      </c>
      <c r="U73" s="4">
        <v>-18.3</v>
      </c>
      <c r="V73" s="4">
        <v>0.22500000000000001</v>
      </c>
      <c r="W73" s="4">
        <v>35.299999999999997</v>
      </c>
      <c r="X73" s="4">
        <v>0.1</v>
      </c>
      <c r="Y73" s="4">
        <v>0.08</v>
      </c>
      <c r="Z73" s="4">
        <v>-1.04</v>
      </c>
      <c r="AA73" s="4">
        <v>-4.6500000000000004</v>
      </c>
      <c r="AB73" s="4">
        <f t="shared" si="5"/>
        <v>6.4650833606341092</v>
      </c>
      <c r="AC73" s="4">
        <f t="shared" si="6"/>
        <v>6.0963524178149404</v>
      </c>
      <c r="AD73" s="4">
        <f t="shared" si="7"/>
        <v>2.9354203557827345</v>
      </c>
      <c r="AE73" s="4">
        <f t="shared" si="8"/>
        <v>1.5414123818245067</v>
      </c>
      <c r="AF73">
        <f t="shared" si="9"/>
        <v>36.622294910132226</v>
      </c>
      <c r="AG73" t="s">
        <v>497</v>
      </c>
      <c r="AH73" t="s">
        <v>48</v>
      </c>
      <c r="AI73" t="s">
        <v>487</v>
      </c>
      <c r="AJ73" t="s">
        <v>488</v>
      </c>
    </row>
    <row r="74" spans="1:36" x14ac:dyDescent="0.3">
      <c r="A74" t="s">
        <v>600</v>
      </c>
      <c r="B74" t="s">
        <v>173</v>
      </c>
      <c r="C74" t="s">
        <v>484</v>
      </c>
      <c r="D74" s="9" t="s">
        <v>508</v>
      </c>
      <c r="E74" t="s">
        <v>47</v>
      </c>
      <c r="F74" t="s">
        <v>101</v>
      </c>
      <c r="G74" s="4">
        <v>7.09</v>
      </c>
      <c r="H74" s="4">
        <v>759.7</v>
      </c>
      <c r="I74" s="4">
        <v>462.7</v>
      </c>
      <c r="J74" s="4">
        <v>28.4</v>
      </c>
      <c r="K74" s="4">
        <v>41.43</v>
      </c>
      <c r="L74" s="4">
        <v>12.4</v>
      </c>
      <c r="M74" s="4">
        <v>38.11</v>
      </c>
      <c r="N74" s="4">
        <v>5.76</v>
      </c>
      <c r="O74" s="4">
        <v>174.49</v>
      </c>
      <c r="P74" s="4">
        <v>42.9</v>
      </c>
      <c r="Q74" s="4">
        <v>30.89</v>
      </c>
      <c r="R74" s="4">
        <v>33.22</v>
      </c>
      <c r="S74" s="4">
        <v>0.66</v>
      </c>
      <c r="T74" s="4">
        <v>-4.33</v>
      </c>
      <c r="U74" s="4">
        <v>-24.37</v>
      </c>
      <c r="V74" s="4">
        <v>0.16200000000000001</v>
      </c>
      <c r="W74" s="4">
        <v>71.400000000000006</v>
      </c>
      <c r="X74" s="4">
        <v>-0.16</v>
      </c>
      <c r="Y74" s="4">
        <v>-0.54</v>
      </c>
      <c r="Z74" s="4">
        <v>-1.04</v>
      </c>
      <c r="AA74" s="4">
        <v>-4.8499999999999996</v>
      </c>
      <c r="AB74" s="4">
        <f t="shared" si="5"/>
        <v>4.8929060883990232</v>
      </c>
      <c r="AC74" s="4">
        <f t="shared" si="6"/>
        <v>5.2834387652990689</v>
      </c>
      <c r="AD74" s="4">
        <f t="shared" si="7"/>
        <v>-3.8376517552677649</v>
      </c>
      <c r="AE74" s="4">
        <f t="shared" si="8"/>
        <v>1.3341567276500472</v>
      </c>
      <c r="AF74">
        <f t="shared" si="9"/>
        <v>36.891602647589814</v>
      </c>
      <c r="AG74" t="s">
        <v>497</v>
      </c>
      <c r="AH74" t="s">
        <v>48</v>
      </c>
      <c r="AI74" t="s">
        <v>487</v>
      </c>
      <c r="AJ74" t="s">
        <v>488</v>
      </c>
    </row>
    <row r="75" spans="1:36" x14ac:dyDescent="0.3">
      <c r="A75" t="s">
        <v>601</v>
      </c>
      <c r="B75" t="s">
        <v>173</v>
      </c>
      <c r="C75" t="s">
        <v>490</v>
      </c>
      <c r="D75" s="9" t="s">
        <v>502</v>
      </c>
      <c r="E75" t="s">
        <v>47</v>
      </c>
      <c r="F75" t="s">
        <v>101</v>
      </c>
      <c r="G75" s="4">
        <v>7.39</v>
      </c>
      <c r="H75" s="4">
        <v>764.6</v>
      </c>
      <c r="I75" s="4">
        <v>497.8</v>
      </c>
      <c r="J75" s="4">
        <v>29.3</v>
      </c>
      <c r="K75" s="4">
        <v>49.13</v>
      </c>
      <c r="L75" s="4">
        <v>16.690000000000001</v>
      </c>
      <c r="M75" s="4">
        <v>39.82</v>
      </c>
      <c r="N75" s="4">
        <v>6.41</v>
      </c>
      <c r="O75" s="4">
        <v>175.11</v>
      </c>
      <c r="P75" s="4">
        <v>61.04</v>
      </c>
      <c r="Q75" s="4">
        <v>51.14</v>
      </c>
      <c r="R75" s="4">
        <v>31.34</v>
      </c>
      <c r="S75" s="4">
        <v>0.87</v>
      </c>
      <c r="T75" s="4">
        <v>-3.54</v>
      </c>
      <c r="U75" s="4">
        <v>-19.93</v>
      </c>
      <c r="V75" s="4">
        <v>0.23300000000000001</v>
      </c>
      <c r="W75" s="4">
        <v>71.8</v>
      </c>
      <c r="X75" s="4">
        <v>0.19</v>
      </c>
      <c r="Y75" s="4">
        <v>-0.15</v>
      </c>
      <c r="Z75" s="4">
        <v>-1.47</v>
      </c>
      <c r="AA75" s="4">
        <v>-5.0199999999999996</v>
      </c>
      <c r="AB75" s="4">
        <f t="shared" si="5"/>
        <v>5.7211788747402101</v>
      </c>
      <c r="AC75" s="4">
        <f t="shared" si="6"/>
        <v>6.2076084669694973</v>
      </c>
      <c r="AD75" s="4">
        <f t="shared" si="7"/>
        <v>-4.0777790591375327</v>
      </c>
      <c r="AE75" s="4">
        <f t="shared" si="8"/>
        <v>1.2524916147573835</v>
      </c>
      <c r="AF75">
        <f t="shared" si="9"/>
        <v>33.141417278159601</v>
      </c>
      <c r="AG75" t="s">
        <v>486</v>
      </c>
      <c r="AH75" t="s">
        <v>48</v>
      </c>
      <c r="AI75" t="s">
        <v>487</v>
      </c>
      <c r="AJ75" t="s">
        <v>488</v>
      </c>
    </row>
    <row r="76" spans="1:36" x14ac:dyDescent="0.3">
      <c r="A76" t="s">
        <v>602</v>
      </c>
      <c r="B76" t="s">
        <v>175</v>
      </c>
      <c r="C76" t="s">
        <v>484</v>
      </c>
      <c r="D76" s="9" t="s">
        <v>539</v>
      </c>
      <c r="E76" t="s">
        <v>47</v>
      </c>
      <c r="F76" t="s">
        <v>101</v>
      </c>
      <c r="G76" s="4">
        <v>7.05</v>
      </c>
      <c r="H76" s="4">
        <v>517.29999999999995</v>
      </c>
      <c r="I76" s="4">
        <v>354.5</v>
      </c>
      <c r="J76" s="4">
        <v>28.9</v>
      </c>
      <c r="K76" s="4">
        <v>35.270000000000003</v>
      </c>
      <c r="L76" s="4">
        <v>12.63</v>
      </c>
      <c r="M76" s="4">
        <v>27.88</v>
      </c>
      <c r="N76" s="4">
        <v>4.3499999999999996</v>
      </c>
      <c r="O76" s="4">
        <v>118.34</v>
      </c>
      <c r="P76" s="4">
        <v>43.79</v>
      </c>
      <c r="Q76" s="4">
        <v>25.82</v>
      </c>
      <c r="R76" s="4">
        <v>12.88</v>
      </c>
      <c r="S76" s="4">
        <v>0.57999999999999996</v>
      </c>
      <c r="T76" s="4">
        <v>-3.88</v>
      </c>
      <c r="U76" s="4">
        <v>-20.149999999999999</v>
      </c>
      <c r="V76" s="4">
        <v>0.20200000000000001</v>
      </c>
      <c r="W76" s="4">
        <v>66.599999999999994</v>
      </c>
      <c r="X76" s="4">
        <v>-0.41</v>
      </c>
      <c r="Y76" s="4">
        <v>-0.56999999999999995</v>
      </c>
      <c r="Z76" s="4">
        <v>-1.04</v>
      </c>
      <c r="AA76" s="4">
        <v>-5.43</v>
      </c>
      <c r="AB76" s="4">
        <f t="shared" si="5"/>
        <v>4.1233730080530711</v>
      </c>
      <c r="AC76" s="4">
        <f t="shared" si="6"/>
        <v>3.9504834118626917</v>
      </c>
      <c r="AD76" s="4">
        <f t="shared" si="7"/>
        <v>2.1413508885780157</v>
      </c>
      <c r="AE76" s="4">
        <f t="shared" si="8"/>
        <v>1.0250812635822026</v>
      </c>
      <c r="AF76">
        <f t="shared" si="9"/>
        <v>32.109945210569471</v>
      </c>
      <c r="AG76" t="s">
        <v>486</v>
      </c>
      <c r="AH76" t="s">
        <v>48</v>
      </c>
      <c r="AI76" t="s">
        <v>487</v>
      </c>
      <c r="AJ76" t="s">
        <v>488</v>
      </c>
    </row>
    <row r="77" spans="1:36" x14ac:dyDescent="0.3">
      <c r="A77" t="s">
        <v>603</v>
      </c>
      <c r="B77" t="s">
        <v>175</v>
      </c>
      <c r="C77" t="s">
        <v>490</v>
      </c>
      <c r="D77" s="9" t="s">
        <v>604</v>
      </c>
      <c r="E77" t="s">
        <v>47</v>
      </c>
      <c r="F77" t="s">
        <v>101</v>
      </c>
      <c r="G77" s="4">
        <v>6.55</v>
      </c>
      <c r="H77" s="4">
        <v>783.5</v>
      </c>
      <c r="I77" s="4">
        <v>488</v>
      </c>
      <c r="J77" s="4">
        <v>28</v>
      </c>
      <c r="K77" s="4">
        <v>45.6</v>
      </c>
      <c r="L77" s="4">
        <v>17.579999999999998</v>
      </c>
      <c r="M77" s="4">
        <v>37.200000000000003</v>
      </c>
      <c r="N77" s="4">
        <v>5.43</v>
      </c>
      <c r="O77" s="4">
        <v>163.75</v>
      </c>
      <c r="P77" s="4">
        <v>52.24</v>
      </c>
      <c r="Q77" s="4">
        <v>49.88</v>
      </c>
      <c r="R77" s="4">
        <v>31.16</v>
      </c>
      <c r="S77" s="4">
        <v>0.55000000000000004</v>
      </c>
      <c r="T77" s="4">
        <v>-3.38</v>
      </c>
      <c r="U77" s="4">
        <v>-21.44</v>
      </c>
      <c r="V77" s="4">
        <v>0.16</v>
      </c>
      <c r="W77" s="4">
        <v>77.2</v>
      </c>
      <c r="X77" s="4">
        <v>-0.21</v>
      </c>
      <c r="Y77" s="4">
        <v>-0.34</v>
      </c>
      <c r="Z77" s="4">
        <v>-1.1000000000000001</v>
      </c>
      <c r="AA77" s="4">
        <v>-5.31</v>
      </c>
      <c r="AB77" s="4">
        <f t="shared" si="5"/>
        <v>5.4792255691591327</v>
      </c>
      <c r="AC77" s="4">
        <f t="shared" si="6"/>
        <v>5.727231366496679</v>
      </c>
      <c r="AD77" s="4">
        <f t="shared" si="7"/>
        <v>-2.2130616193996264</v>
      </c>
      <c r="AE77" s="4">
        <f t="shared" si="8"/>
        <v>1.1861490214967652</v>
      </c>
      <c r="AF77">
        <f t="shared" si="9"/>
        <v>32.06743309807063</v>
      </c>
      <c r="AG77" t="s">
        <v>486</v>
      </c>
      <c r="AH77" t="s">
        <v>48</v>
      </c>
      <c r="AI77" t="s">
        <v>487</v>
      </c>
      <c r="AJ77" t="s">
        <v>488</v>
      </c>
    </row>
    <row r="78" spans="1:36" x14ac:dyDescent="0.3">
      <c r="A78" t="s">
        <v>605</v>
      </c>
      <c r="B78" t="s">
        <v>177</v>
      </c>
      <c r="C78" t="s">
        <v>484</v>
      </c>
      <c r="D78" s="9" t="s">
        <v>485</v>
      </c>
      <c r="E78" t="s">
        <v>47</v>
      </c>
      <c r="F78" t="s">
        <v>142</v>
      </c>
      <c r="G78" s="4">
        <v>6.71</v>
      </c>
      <c r="H78" s="4">
        <v>479.9</v>
      </c>
      <c r="I78" s="4">
        <v>332.9</v>
      </c>
      <c r="J78" s="4">
        <v>29.5</v>
      </c>
      <c r="K78" s="4">
        <v>25.84</v>
      </c>
      <c r="L78" s="4">
        <v>13.76</v>
      </c>
      <c r="M78" s="4">
        <v>31.17</v>
      </c>
      <c r="N78" s="4">
        <v>3.83</v>
      </c>
      <c r="O78" s="4">
        <v>106.76</v>
      </c>
      <c r="P78" s="4">
        <v>53.55</v>
      </c>
      <c r="Q78" s="4">
        <v>24.39</v>
      </c>
      <c r="R78" s="4">
        <v>18.38</v>
      </c>
      <c r="S78" s="4">
        <v>0.4</v>
      </c>
      <c r="T78" s="4">
        <v>-4.37</v>
      </c>
      <c r="U78" s="4">
        <v>-27.01</v>
      </c>
      <c r="V78" s="4">
        <v>0.16800000000000001</v>
      </c>
      <c r="W78" s="4">
        <v>49.3</v>
      </c>
      <c r="X78" s="4">
        <v>-0.11</v>
      </c>
      <c r="Y78" s="4">
        <v>-0.04</v>
      </c>
      <c r="Z78" s="4">
        <v>-1</v>
      </c>
      <c r="AA78" s="4">
        <v>-5.48</v>
      </c>
      <c r="AB78" s="4">
        <f t="shared" si="5"/>
        <v>3.8755876362321393</v>
      </c>
      <c r="AC78" s="4">
        <f t="shared" si="6"/>
        <v>4.0854461045741628</v>
      </c>
      <c r="AD78" s="4">
        <f t="shared" si="7"/>
        <v>-2.6360705804616877</v>
      </c>
      <c r="AE78" s="4">
        <f t="shared" si="8"/>
        <v>1.2321566259173289</v>
      </c>
      <c r="AF78">
        <f t="shared" si="9"/>
        <v>37.512371289874608</v>
      </c>
      <c r="AG78" t="s">
        <v>606</v>
      </c>
      <c r="AH78" t="s">
        <v>48</v>
      </c>
      <c r="AI78" t="s">
        <v>487</v>
      </c>
      <c r="AJ78" t="s">
        <v>488</v>
      </c>
    </row>
    <row r="79" spans="1:36" x14ac:dyDescent="0.3">
      <c r="A79" t="s">
        <v>607</v>
      </c>
      <c r="B79" t="s">
        <v>177</v>
      </c>
      <c r="C79" t="s">
        <v>490</v>
      </c>
      <c r="D79" s="9" t="s">
        <v>496</v>
      </c>
      <c r="E79" t="s">
        <v>47</v>
      </c>
      <c r="F79" t="s">
        <v>142</v>
      </c>
      <c r="G79" s="4">
        <v>6.71</v>
      </c>
      <c r="H79" s="4">
        <v>696.8</v>
      </c>
      <c r="I79" s="4">
        <v>494.7</v>
      </c>
      <c r="J79" s="4">
        <v>29.8</v>
      </c>
      <c r="K79" s="4">
        <v>53.04</v>
      </c>
      <c r="L79" s="4">
        <v>16.63</v>
      </c>
      <c r="M79" s="4">
        <v>54.61</v>
      </c>
      <c r="N79" s="4">
        <v>6.51</v>
      </c>
      <c r="O79" s="4">
        <v>167.04</v>
      </c>
      <c r="P79" s="4">
        <v>84.83</v>
      </c>
      <c r="Q79" s="4">
        <v>38.42</v>
      </c>
      <c r="R79" s="4">
        <v>22.19</v>
      </c>
      <c r="S79" s="4">
        <v>0.65</v>
      </c>
      <c r="T79" s="4">
        <v>-3.64</v>
      </c>
      <c r="U79" s="4">
        <v>-26.58</v>
      </c>
      <c r="V79" s="4">
        <v>0.121</v>
      </c>
      <c r="W79" s="4">
        <v>49.8</v>
      </c>
      <c r="X79" s="4">
        <v>-0.34</v>
      </c>
      <c r="Y79" s="4">
        <v>-0.85</v>
      </c>
      <c r="Z79" s="4">
        <v>-1.45</v>
      </c>
      <c r="AA79" s="4">
        <v>-5.22</v>
      </c>
      <c r="AB79" s="4">
        <f t="shared" si="5"/>
        <v>6.5572699795077884</v>
      </c>
      <c r="AC79" s="4">
        <f t="shared" si="6"/>
        <v>6.3223936990096039</v>
      </c>
      <c r="AD79" s="4">
        <f t="shared" si="7"/>
        <v>1.8236212245972381</v>
      </c>
      <c r="AE79" s="4">
        <f t="shared" si="8"/>
        <v>1.6765214028536102</v>
      </c>
      <c r="AF79">
        <f t="shared" si="9"/>
        <v>38.765959241969433</v>
      </c>
      <c r="AG79" t="s">
        <v>608</v>
      </c>
      <c r="AH79" t="s">
        <v>48</v>
      </c>
      <c r="AI79" t="s">
        <v>487</v>
      </c>
      <c r="AJ79" t="s">
        <v>488</v>
      </c>
    </row>
    <row r="80" spans="1:36" x14ac:dyDescent="0.3">
      <c r="A80" t="s">
        <v>609</v>
      </c>
      <c r="B80" t="s">
        <v>179</v>
      </c>
      <c r="C80" t="s">
        <v>484</v>
      </c>
      <c r="D80" s="9" t="s">
        <v>565</v>
      </c>
      <c r="E80" t="s">
        <v>47</v>
      </c>
      <c r="F80" t="s">
        <v>101</v>
      </c>
      <c r="G80" s="4">
        <v>7.09</v>
      </c>
      <c r="H80" s="4">
        <v>509.4</v>
      </c>
      <c r="I80" s="4">
        <v>315.2</v>
      </c>
      <c r="J80" s="4">
        <v>28.7</v>
      </c>
      <c r="K80" s="4">
        <v>32.880000000000003</v>
      </c>
      <c r="L80" s="4">
        <v>10.44</v>
      </c>
      <c r="M80" s="4">
        <v>21.49</v>
      </c>
      <c r="N80" s="4">
        <v>4.41</v>
      </c>
      <c r="O80" s="4">
        <v>115.25</v>
      </c>
      <c r="P80" s="4">
        <v>36.770000000000003</v>
      </c>
      <c r="Q80" s="4">
        <v>28.36</v>
      </c>
      <c r="R80" s="4">
        <v>7.3</v>
      </c>
      <c r="S80" s="4">
        <v>0.52</v>
      </c>
      <c r="T80" s="4">
        <v>-4.2300000000000004</v>
      </c>
      <c r="U80" s="4">
        <v>-28.58</v>
      </c>
      <c r="V80" s="4">
        <v>0.20799999999999999</v>
      </c>
      <c r="W80" s="4">
        <v>53.5</v>
      </c>
      <c r="X80" s="4">
        <v>-0.38</v>
      </c>
      <c r="Y80" s="4">
        <v>-0.4</v>
      </c>
      <c r="Z80" s="4">
        <v>-1.1399999999999999</v>
      </c>
      <c r="AA80" s="4">
        <v>-4.9400000000000004</v>
      </c>
      <c r="AB80" s="4">
        <f t="shared" si="5"/>
        <v>3.547471327640725</v>
      </c>
      <c r="AC80" s="4">
        <f t="shared" si="6"/>
        <v>3.6615648258460269</v>
      </c>
      <c r="AD80" s="4">
        <f t="shared" si="7"/>
        <v>-1.5826456654697034</v>
      </c>
      <c r="AE80" s="4">
        <f t="shared" si="8"/>
        <v>0.83612555513797926</v>
      </c>
      <c r="AF80">
        <f t="shared" si="9"/>
        <v>29.53056694272507</v>
      </c>
      <c r="AG80" t="s">
        <v>486</v>
      </c>
      <c r="AH80" t="s">
        <v>48</v>
      </c>
      <c r="AI80" t="s">
        <v>487</v>
      </c>
      <c r="AJ80" t="s">
        <v>488</v>
      </c>
    </row>
    <row r="81" spans="1:36" x14ac:dyDescent="0.3">
      <c r="A81" t="s">
        <v>610</v>
      </c>
      <c r="B81" t="s">
        <v>179</v>
      </c>
      <c r="C81" t="s">
        <v>490</v>
      </c>
      <c r="D81" s="9" t="s">
        <v>611</v>
      </c>
      <c r="E81" t="s">
        <v>47</v>
      </c>
      <c r="F81" t="s">
        <v>101</v>
      </c>
      <c r="G81" s="4">
        <v>6.58</v>
      </c>
      <c r="H81" s="4">
        <v>875</v>
      </c>
      <c r="I81" s="4">
        <v>502.4</v>
      </c>
      <c r="J81" s="4">
        <v>29.2</v>
      </c>
      <c r="K81" s="4">
        <v>43.46</v>
      </c>
      <c r="L81" s="4">
        <v>19.170000000000002</v>
      </c>
      <c r="M81" s="4">
        <v>50.57</v>
      </c>
      <c r="N81" s="4">
        <v>5.36</v>
      </c>
      <c r="O81" s="4">
        <v>167.05</v>
      </c>
      <c r="P81" s="4">
        <v>77.36</v>
      </c>
      <c r="Q81" s="4">
        <v>41.43</v>
      </c>
      <c r="R81" s="4">
        <v>17.16</v>
      </c>
      <c r="S81" s="4">
        <v>0.77</v>
      </c>
      <c r="T81" s="4">
        <v>-4.4000000000000004</v>
      </c>
      <c r="U81" s="4">
        <v>-28.66</v>
      </c>
      <c r="V81" s="4">
        <v>0.115</v>
      </c>
      <c r="W81" s="4">
        <v>61</v>
      </c>
      <c r="X81" s="4">
        <v>0.13</v>
      </c>
      <c r="Y81" s="4">
        <v>-0.26</v>
      </c>
      <c r="Z81" s="4">
        <v>-1.24</v>
      </c>
      <c r="AA81" s="4">
        <v>-4.8</v>
      </c>
      <c r="AB81" s="4">
        <f t="shared" si="5"/>
        <v>6.083063212431318</v>
      </c>
      <c r="AC81" s="4">
        <f t="shared" si="6"/>
        <v>6.0997190968462016</v>
      </c>
      <c r="AD81" s="4">
        <f t="shared" si="7"/>
        <v>-0.13671658896999028</v>
      </c>
      <c r="AE81" s="4">
        <f t="shared" si="8"/>
        <v>1.6072779796210452</v>
      </c>
      <c r="AF81">
        <f t="shared" si="9"/>
        <v>38.415499480165977</v>
      </c>
      <c r="AG81" t="s">
        <v>492</v>
      </c>
      <c r="AH81" t="s">
        <v>48</v>
      </c>
      <c r="AI81" t="s">
        <v>487</v>
      </c>
      <c r="AJ81" t="s">
        <v>488</v>
      </c>
    </row>
    <row r="82" spans="1:36" x14ac:dyDescent="0.3">
      <c r="A82" t="s">
        <v>612</v>
      </c>
      <c r="B82" t="s">
        <v>182</v>
      </c>
      <c r="C82" t="s">
        <v>484</v>
      </c>
      <c r="D82" s="9" t="s">
        <v>494</v>
      </c>
      <c r="E82" t="s">
        <v>49</v>
      </c>
      <c r="F82" t="s">
        <v>142</v>
      </c>
      <c r="G82" s="4">
        <v>6.79</v>
      </c>
      <c r="H82" s="4">
        <v>483.8</v>
      </c>
      <c r="I82" s="4">
        <v>301.89999999999998</v>
      </c>
      <c r="J82" s="4">
        <v>27.9</v>
      </c>
      <c r="K82" s="4">
        <v>31.99</v>
      </c>
      <c r="L82" s="4">
        <v>10.6</v>
      </c>
      <c r="M82" s="4">
        <v>29.24</v>
      </c>
      <c r="N82" s="4">
        <v>5.1100000000000003</v>
      </c>
      <c r="O82" s="4">
        <v>112.17</v>
      </c>
      <c r="P82" s="4">
        <v>41.49</v>
      </c>
      <c r="Q82" s="4">
        <v>28.87</v>
      </c>
      <c r="R82" s="4">
        <v>3.48</v>
      </c>
      <c r="S82" s="4">
        <v>0.18</v>
      </c>
      <c r="T82" s="4">
        <v>-4.8099999999999996</v>
      </c>
      <c r="U82" s="4">
        <v>-31.42</v>
      </c>
      <c r="V82" s="4">
        <v>0.151</v>
      </c>
      <c r="W82" s="4">
        <v>38.6</v>
      </c>
      <c r="X82" s="4">
        <v>-0.26</v>
      </c>
      <c r="Y82" s="4">
        <v>-0.37</v>
      </c>
      <c r="Z82" s="4">
        <v>-0.53</v>
      </c>
      <c r="AA82" s="4">
        <v>-5.47</v>
      </c>
      <c r="AB82" s="4">
        <f t="shared" si="5"/>
        <v>3.8712454300413346</v>
      </c>
      <c r="AC82" s="4">
        <f t="shared" si="6"/>
        <v>3.6753339798737863</v>
      </c>
      <c r="AD82" s="4">
        <f t="shared" si="7"/>
        <v>2.5960297974225091</v>
      </c>
      <c r="AE82" s="4">
        <f t="shared" si="8"/>
        <v>1.1448373667972269</v>
      </c>
      <c r="AF82">
        <f t="shared" si="9"/>
        <v>36.231489364064437</v>
      </c>
      <c r="AG82" t="s">
        <v>497</v>
      </c>
      <c r="AH82" t="s">
        <v>48</v>
      </c>
      <c r="AI82" t="s">
        <v>487</v>
      </c>
      <c r="AJ82" t="s">
        <v>488</v>
      </c>
    </row>
    <row r="83" spans="1:36" x14ac:dyDescent="0.3">
      <c r="A83" t="s">
        <v>613</v>
      </c>
      <c r="B83" t="s">
        <v>182</v>
      </c>
      <c r="C83" t="s">
        <v>490</v>
      </c>
      <c r="D83" s="9" t="s">
        <v>546</v>
      </c>
      <c r="E83" t="s">
        <v>49</v>
      </c>
      <c r="F83" t="s">
        <v>142</v>
      </c>
      <c r="G83" s="4">
        <v>6.98</v>
      </c>
      <c r="H83" s="4">
        <v>959.3</v>
      </c>
      <c r="I83" s="4">
        <v>547.9</v>
      </c>
      <c r="J83" s="4">
        <v>28.2</v>
      </c>
      <c r="K83" s="4">
        <v>53.11</v>
      </c>
      <c r="L83" s="4">
        <v>18.55</v>
      </c>
      <c r="M83" s="4">
        <v>55.14</v>
      </c>
      <c r="N83" s="4">
        <v>6.75</v>
      </c>
      <c r="O83" s="4">
        <v>186.47</v>
      </c>
      <c r="P83" s="4">
        <v>87.55</v>
      </c>
      <c r="Q83" s="4">
        <v>58.02</v>
      </c>
      <c r="R83" s="4">
        <v>13.56</v>
      </c>
      <c r="S83" s="4">
        <v>0.53</v>
      </c>
      <c r="T83" s="4">
        <v>-3.38</v>
      </c>
      <c r="U83" s="4">
        <v>-22.79</v>
      </c>
      <c r="V83" s="4">
        <v>0.155</v>
      </c>
      <c r="W83" s="4">
        <v>54.3</v>
      </c>
      <c r="X83" s="4">
        <v>0.22</v>
      </c>
      <c r="Y83" s="4">
        <v>-0.15</v>
      </c>
      <c r="Z83" s="4">
        <v>-0.56999999999999995</v>
      </c>
      <c r="AA83" s="4">
        <v>-4.6500000000000004</v>
      </c>
      <c r="AB83" s="4">
        <f t="shared" si="5"/>
        <v>6.7479482761998844</v>
      </c>
      <c r="AC83" s="4">
        <f t="shared" si="6"/>
        <v>6.9801353381937794</v>
      </c>
      <c r="AD83" s="4">
        <f t="shared" si="7"/>
        <v>-1.6913290195177046</v>
      </c>
      <c r="AE83" s="4">
        <f t="shared" si="8"/>
        <v>1.6597457614012068</v>
      </c>
      <c r="AF83">
        <f t="shared" si="9"/>
        <v>38.103160073725952</v>
      </c>
      <c r="AG83" t="s">
        <v>608</v>
      </c>
      <c r="AH83" t="s">
        <v>48</v>
      </c>
      <c r="AI83" t="s">
        <v>487</v>
      </c>
      <c r="AJ83" t="s">
        <v>488</v>
      </c>
    </row>
    <row r="84" spans="1:36" x14ac:dyDescent="0.3">
      <c r="A84" t="s">
        <v>614</v>
      </c>
      <c r="B84" t="s">
        <v>186</v>
      </c>
      <c r="C84" t="s">
        <v>484</v>
      </c>
      <c r="D84" s="9" t="s">
        <v>504</v>
      </c>
      <c r="E84" t="s">
        <v>49</v>
      </c>
      <c r="F84" t="s">
        <v>75</v>
      </c>
      <c r="G84" s="4">
        <v>7.08</v>
      </c>
      <c r="H84" s="4">
        <v>506.3</v>
      </c>
      <c r="I84" s="4">
        <v>296.89999999999998</v>
      </c>
      <c r="J84" s="4">
        <v>28.3</v>
      </c>
      <c r="K84" s="4">
        <v>25.56</v>
      </c>
      <c r="L84" s="4">
        <v>9.91</v>
      </c>
      <c r="M84" s="4">
        <v>33.65</v>
      </c>
      <c r="N84" s="4">
        <v>3.65</v>
      </c>
      <c r="O84" s="4">
        <v>104.26</v>
      </c>
      <c r="P84" s="4">
        <v>29.65</v>
      </c>
      <c r="Q84" s="4">
        <v>28.99</v>
      </c>
      <c r="R84" s="4">
        <v>26.31</v>
      </c>
      <c r="S84" s="4">
        <v>0.39</v>
      </c>
      <c r="T84" s="4">
        <v>-4.46</v>
      </c>
      <c r="U84" s="4">
        <v>-24.94</v>
      </c>
      <c r="V84" s="4">
        <v>0.193</v>
      </c>
      <c r="W84" s="4">
        <v>36.6</v>
      </c>
      <c r="X84" s="4">
        <v>-0.17</v>
      </c>
      <c r="Y84" s="4">
        <v>-0.35</v>
      </c>
      <c r="Z84" s="4">
        <v>-1.1399999999999999</v>
      </c>
      <c r="AA84" s="4">
        <v>-5.65</v>
      </c>
      <c r="AB84" s="4">
        <f t="shared" si="5"/>
        <v>3.6480815063702674</v>
      </c>
      <c r="AC84" s="4">
        <f t="shared" si="6"/>
        <v>3.5934815174940469</v>
      </c>
      <c r="AD84" s="4">
        <f t="shared" si="7"/>
        <v>0.75398071792357813</v>
      </c>
      <c r="AE84" s="4">
        <f t="shared" si="8"/>
        <v>1.4315441746337345</v>
      </c>
      <c r="AF84">
        <f t="shared" si="9"/>
        <v>42.682672676769116</v>
      </c>
      <c r="AG84" t="s">
        <v>492</v>
      </c>
      <c r="AH84" t="s">
        <v>500</v>
      </c>
      <c r="AI84" t="s">
        <v>487</v>
      </c>
      <c r="AJ84" t="s">
        <v>488</v>
      </c>
    </row>
    <row r="85" spans="1:36" x14ac:dyDescent="0.3">
      <c r="A85" t="s">
        <v>615</v>
      </c>
      <c r="B85" t="s">
        <v>186</v>
      </c>
      <c r="C85" t="s">
        <v>490</v>
      </c>
      <c r="D85" s="9" t="s">
        <v>563</v>
      </c>
      <c r="E85" t="s">
        <v>49</v>
      </c>
      <c r="F85" t="s">
        <v>75</v>
      </c>
      <c r="G85" s="4">
        <v>7.08</v>
      </c>
      <c r="H85" s="4">
        <v>833.6</v>
      </c>
      <c r="I85" s="4">
        <v>555</v>
      </c>
      <c r="J85" s="4">
        <v>28.5</v>
      </c>
      <c r="K85" s="4">
        <v>51.5</v>
      </c>
      <c r="L85" s="4">
        <v>17.72</v>
      </c>
      <c r="M85" s="4">
        <v>58.46</v>
      </c>
      <c r="N85" s="4">
        <v>6.84</v>
      </c>
      <c r="O85" s="4">
        <v>170.53</v>
      </c>
      <c r="P85" s="4">
        <v>72.63</v>
      </c>
      <c r="Q85" s="4">
        <v>57.85</v>
      </c>
      <c r="R85" s="4">
        <v>62.43</v>
      </c>
      <c r="S85" s="4">
        <v>1.05</v>
      </c>
      <c r="T85" s="4">
        <v>-3.82</v>
      </c>
      <c r="U85" s="4">
        <v>-23.83</v>
      </c>
      <c r="V85" s="4">
        <v>0.155</v>
      </c>
      <c r="W85" s="4">
        <v>46.1</v>
      </c>
      <c r="X85" s="4">
        <v>0.09</v>
      </c>
      <c r="Y85" s="4">
        <v>0.09</v>
      </c>
      <c r="Z85" s="4">
        <v>-1.02</v>
      </c>
      <c r="AA85" s="4">
        <v>-5.25</v>
      </c>
      <c r="AB85" s="4">
        <f t="shared" si="5"/>
        <v>6.7460250447867365</v>
      </c>
      <c r="AC85" s="4">
        <f t="shared" si="6"/>
        <v>7.1100488922911946</v>
      </c>
      <c r="AD85" s="4">
        <f t="shared" si="7"/>
        <v>-2.6271788759033297</v>
      </c>
      <c r="AE85" s="4">
        <f t="shared" si="8"/>
        <v>1.7918525735346293</v>
      </c>
      <c r="AF85">
        <f t="shared" si="9"/>
        <v>40.288915596834066</v>
      </c>
      <c r="AG85" t="s">
        <v>492</v>
      </c>
      <c r="AH85" t="s">
        <v>506</v>
      </c>
      <c r="AI85" t="s">
        <v>487</v>
      </c>
      <c r="AJ85" t="s">
        <v>488</v>
      </c>
    </row>
    <row r="86" spans="1:36" x14ac:dyDescent="0.3">
      <c r="A86" t="s">
        <v>616</v>
      </c>
      <c r="B86" t="s">
        <v>189</v>
      </c>
      <c r="C86" t="s">
        <v>484</v>
      </c>
      <c r="D86" s="9" t="s">
        <v>515</v>
      </c>
      <c r="E86" t="s">
        <v>49</v>
      </c>
      <c r="F86" t="s">
        <v>142</v>
      </c>
      <c r="G86" s="4">
        <v>6.7</v>
      </c>
      <c r="H86" s="4">
        <v>555.20000000000005</v>
      </c>
      <c r="I86" s="4">
        <v>368.2</v>
      </c>
      <c r="J86" s="4">
        <v>29.4</v>
      </c>
      <c r="K86" s="4">
        <v>30.92</v>
      </c>
      <c r="L86" s="4">
        <v>11.46</v>
      </c>
      <c r="M86" s="4">
        <v>33.71</v>
      </c>
      <c r="N86" s="4">
        <v>4.9000000000000004</v>
      </c>
      <c r="O86" s="4">
        <v>131.75</v>
      </c>
      <c r="P86" s="4">
        <v>39.18</v>
      </c>
      <c r="Q86" s="4">
        <v>30.49</v>
      </c>
      <c r="R86" s="4">
        <v>15.92</v>
      </c>
      <c r="S86" s="4">
        <v>0.28999999999999998</v>
      </c>
      <c r="T86" s="4">
        <v>-3.56</v>
      </c>
      <c r="U86" s="4">
        <v>-23.03</v>
      </c>
      <c r="V86" s="4">
        <v>0.13200000000000001</v>
      </c>
      <c r="W86" s="4">
        <v>50.7</v>
      </c>
      <c r="X86" s="4">
        <v>-0.23</v>
      </c>
      <c r="Y86" s="4">
        <v>-0.46</v>
      </c>
      <c r="Z86" s="4">
        <v>-1.32</v>
      </c>
      <c r="AA86" s="4">
        <v>-4.37</v>
      </c>
      <c r="AB86" s="4">
        <f t="shared" si="5"/>
        <v>4.077686584623315</v>
      </c>
      <c r="AC86" s="4">
        <f t="shared" si="6"/>
        <v>4.1712250374654571</v>
      </c>
      <c r="AD86" s="4">
        <f t="shared" si="7"/>
        <v>-1.1339490241557044</v>
      </c>
      <c r="AE86" s="4">
        <f t="shared" si="8"/>
        <v>1.3152323906152426</v>
      </c>
      <c r="AF86">
        <f t="shared" si="9"/>
        <v>39.033887082922327</v>
      </c>
      <c r="AG86" t="s">
        <v>492</v>
      </c>
      <c r="AH86" t="s">
        <v>48</v>
      </c>
      <c r="AI86" t="s">
        <v>487</v>
      </c>
      <c r="AJ86" t="s">
        <v>488</v>
      </c>
    </row>
    <row r="87" spans="1:36" x14ac:dyDescent="0.3">
      <c r="A87" t="s">
        <v>617</v>
      </c>
      <c r="B87" t="s">
        <v>189</v>
      </c>
      <c r="C87" t="s">
        <v>490</v>
      </c>
      <c r="D87" s="9" t="s">
        <v>535</v>
      </c>
      <c r="E87" t="s">
        <v>49</v>
      </c>
      <c r="F87" t="s">
        <v>142</v>
      </c>
      <c r="G87" s="4">
        <v>6.51</v>
      </c>
      <c r="H87" s="4">
        <v>695.8</v>
      </c>
      <c r="I87" s="4">
        <v>446.5</v>
      </c>
      <c r="J87" s="4">
        <v>28.2</v>
      </c>
      <c r="K87" s="4">
        <v>45.37</v>
      </c>
      <c r="L87" s="4">
        <v>16.260000000000002</v>
      </c>
      <c r="M87" s="4">
        <v>45.25</v>
      </c>
      <c r="N87" s="4">
        <v>6.3</v>
      </c>
      <c r="O87" s="4">
        <v>153.77000000000001</v>
      </c>
      <c r="P87" s="4">
        <v>70.12</v>
      </c>
      <c r="Q87" s="4">
        <v>39.58</v>
      </c>
      <c r="R87" s="4">
        <v>14.74</v>
      </c>
      <c r="S87" s="4">
        <v>0.44</v>
      </c>
      <c r="T87" s="4">
        <v>-3.53</v>
      </c>
      <c r="U87" s="4">
        <v>-21.88</v>
      </c>
      <c r="V87" s="4">
        <v>0.154</v>
      </c>
      <c r="W87" s="4">
        <v>55.3</v>
      </c>
      <c r="X87" s="4">
        <v>-0.24</v>
      </c>
      <c r="Y87" s="4">
        <v>-0.45</v>
      </c>
      <c r="Z87" s="4">
        <v>-0.93</v>
      </c>
      <c r="AA87" s="4">
        <v>-5.03</v>
      </c>
      <c r="AB87" s="4">
        <f t="shared" si="5"/>
        <v>5.7315475739079416</v>
      </c>
      <c r="AC87" s="4">
        <f t="shared" si="6"/>
        <v>5.582940220754832</v>
      </c>
      <c r="AD87" s="4">
        <f t="shared" si="7"/>
        <v>1.3134253697565528</v>
      </c>
      <c r="AE87" s="4">
        <f t="shared" si="8"/>
        <v>1.4666846400879026</v>
      </c>
      <c r="AF87">
        <f t="shared" si="9"/>
        <v>37.153425234756384</v>
      </c>
      <c r="AG87" t="s">
        <v>497</v>
      </c>
      <c r="AH87" t="s">
        <v>48</v>
      </c>
      <c r="AI87" t="s">
        <v>487</v>
      </c>
      <c r="AJ87" t="s">
        <v>488</v>
      </c>
    </row>
    <row r="88" spans="1:36" x14ac:dyDescent="0.3">
      <c r="A88" t="s">
        <v>618</v>
      </c>
      <c r="B88" t="s">
        <v>192</v>
      </c>
      <c r="C88" t="s">
        <v>484</v>
      </c>
      <c r="D88" s="9" t="s">
        <v>520</v>
      </c>
      <c r="E88" t="s">
        <v>49</v>
      </c>
      <c r="F88" t="s">
        <v>101</v>
      </c>
      <c r="G88" s="4">
        <v>7.03</v>
      </c>
      <c r="H88" s="4">
        <v>649.6</v>
      </c>
      <c r="I88" s="4">
        <v>443.9</v>
      </c>
      <c r="J88" s="4">
        <v>28</v>
      </c>
      <c r="K88" s="4">
        <v>34.119999999999997</v>
      </c>
      <c r="L88" s="4">
        <v>13.62</v>
      </c>
      <c r="M88" s="4">
        <v>30.19</v>
      </c>
      <c r="N88" s="4">
        <v>3.04</v>
      </c>
      <c r="O88" s="4">
        <v>111.68</v>
      </c>
      <c r="P88" s="4">
        <v>39.67</v>
      </c>
      <c r="Q88" s="4">
        <v>31.32</v>
      </c>
      <c r="R88" s="4">
        <v>102.19</v>
      </c>
      <c r="S88" s="4">
        <v>0.55000000000000004</v>
      </c>
      <c r="T88" s="4">
        <v>-3.61</v>
      </c>
      <c r="U88" s="4">
        <v>-22.48</v>
      </c>
      <c r="V88" s="4">
        <v>0.189</v>
      </c>
      <c r="W88" s="4">
        <v>67.3</v>
      </c>
      <c r="X88" s="4">
        <v>-0.53</v>
      </c>
      <c r="Y88" s="4">
        <v>-0.49</v>
      </c>
      <c r="Z88" s="4">
        <v>-0.76</v>
      </c>
      <c r="AA88" s="4">
        <v>-4.8499999999999996</v>
      </c>
      <c r="AB88" s="4">
        <f t="shared" si="5"/>
        <v>4.2144269234913576</v>
      </c>
      <c r="AC88" s="4">
        <f t="shared" si="6"/>
        <v>5.2784242053313726</v>
      </c>
      <c r="AD88" s="4">
        <f t="shared" si="7"/>
        <v>-11.208405856165241</v>
      </c>
      <c r="AE88" s="4">
        <f t="shared" si="8"/>
        <v>1.1052715557502577</v>
      </c>
      <c r="AF88">
        <f t="shared" si="9"/>
        <v>33.005438899005604</v>
      </c>
      <c r="AG88" t="s">
        <v>497</v>
      </c>
      <c r="AH88" t="s">
        <v>506</v>
      </c>
      <c r="AI88" t="s">
        <v>516</v>
      </c>
      <c r="AJ88" t="s">
        <v>517</v>
      </c>
    </row>
    <row r="89" spans="1:36" x14ac:dyDescent="0.3">
      <c r="A89" t="s">
        <v>619</v>
      </c>
      <c r="B89" t="s">
        <v>192</v>
      </c>
      <c r="C89" t="s">
        <v>490</v>
      </c>
      <c r="D89" s="9" t="s">
        <v>502</v>
      </c>
      <c r="E89" t="s">
        <v>49</v>
      </c>
      <c r="F89" t="s">
        <v>101</v>
      </c>
      <c r="G89" s="4">
        <v>6.97</v>
      </c>
      <c r="H89" s="4">
        <v>969</v>
      </c>
      <c r="I89" s="4">
        <v>639.79999999999995</v>
      </c>
      <c r="J89" s="4">
        <v>28.9</v>
      </c>
      <c r="K89" s="4">
        <v>56.68</v>
      </c>
      <c r="L89" s="4">
        <v>18.55</v>
      </c>
      <c r="M89" s="4">
        <v>61.55</v>
      </c>
      <c r="N89" s="4">
        <v>6.51</v>
      </c>
      <c r="O89" s="4">
        <v>214.1</v>
      </c>
      <c r="P89" s="4">
        <v>67.94</v>
      </c>
      <c r="Q89" s="4">
        <v>65.41</v>
      </c>
      <c r="R89" s="4">
        <v>71.16</v>
      </c>
      <c r="S89" s="4">
        <v>1.01</v>
      </c>
      <c r="T89" s="4">
        <v>-3.88</v>
      </c>
      <c r="U89" s="4">
        <v>-24.47</v>
      </c>
      <c r="V89" s="4">
        <v>0.16500000000000001</v>
      </c>
      <c r="W89" s="4">
        <v>59.2</v>
      </c>
      <c r="X89" s="4">
        <v>0.31</v>
      </c>
      <c r="Y89" s="4">
        <v>-0.26</v>
      </c>
      <c r="Z89" s="4">
        <v>-1.04</v>
      </c>
      <c r="AA89" s="4">
        <v>-5.25</v>
      </c>
      <c r="AB89" s="4">
        <f t="shared" si="5"/>
        <v>7.1987914623989155</v>
      </c>
      <c r="AC89" s="4">
        <f t="shared" si="6"/>
        <v>7.9879275347769028</v>
      </c>
      <c r="AD89" s="4">
        <f t="shared" si="7"/>
        <v>-5.1962248891596534</v>
      </c>
      <c r="AE89" s="4">
        <f t="shared" si="8"/>
        <v>1.8143994967820622</v>
      </c>
      <c r="AF89">
        <f t="shared" si="9"/>
        <v>39.504854835713552</v>
      </c>
      <c r="AG89" t="s">
        <v>492</v>
      </c>
      <c r="AH89" t="s">
        <v>506</v>
      </c>
      <c r="AI89" t="s">
        <v>542</v>
      </c>
      <c r="AJ89" t="s">
        <v>543</v>
      </c>
    </row>
    <row r="90" spans="1:36" x14ac:dyDescent="0.3">
      <c r="A90" t="s">
        <v>620</v>
      </c>
      <c r="B90" t="s">
        <v>194</v>
      </c>
      <c r="C90" t="s">
        <v>484</v>
      </c>
      <c r="D90" s="9" t="s">
        <v>621</v>
      </c>
      <c r="E90" t="s">
        <v>49</v>
      </c>
      <c r="F90" t="s">
        <v>142</v>
      </c>
      <c r="G90" s="4">
        <v>7.12</v>
      </c>
      <c r="H90" s="4">
        <v>664.3</v>
      </c>
      <c r="I90" s="4">
        <v>387.8</v>
      </c>
      <c r="J90" s="4">
        <v>28.3</v>
      </c>
      <c r="K90" s="4">
        <v>28</v>
      </c>
      <c r="L90" s="4">
        <v>14.04</v>
      </c>
      <c r="M90" s="4">
        <v>33.520000000000003</v>
      </c>
      <c r="N90" s="4">
        <v>3.64</v>
      </c>
      <c r="O90" s="4">
        <v>116.76</v>
      </c>
      <c r="P90" s="4">
        <v>43.39</v>
      </c>
      <c r="Q90" s="4">
        <v>27.3</v>
      </c>
      <c r="R90" s="4">
        <v>55.49</v>
      </c>
      <c r="S90" s="4">
        <v>0.36</v>
      </c>
      <c r="T90" s="4">
        <v>-3.2</v>
      </c>
      <c r="U90" s="4">
        <v>-21.62</v>
      </c>
      <c r="V90" s="4">
        <v>0.156</v>
      </c>
      <c r="W90" s="4">
        <v>44.5</v>
      </c>
      <c r="X90" s="4">
        <v>0.2</v>
      </c>
      <c r="Y90" s="4">
        <v>-7.0000000000000007E-2</v>
      </c>
      <c r="Z90" s="4">
        <v>-1</v>
      </c>
      <c r="AA90" s="4">
        <v>-4.58</v>
      </c>
      <c r="AB90" s="4">
        <f t="shared" si="5"/>
        <v>4.1037811913428381</v>
      </c>
      <c r="AC90" s="4">
        <f t="shared" si="6"/>
        <v>4.61974368297951</v>
      </c>
      <c r="AD90" s="4">
        <f t="shared" si="7"/>
        <v>-5.9146101956492938</v>
      </c>
      <c r="AE90" s="4">
        <f t="shared" si="8"/>
        <v>1.2906489364869989</v>
      </c>
      <c r="AF90">
        <f t="shared" si="9"/>
        <v>37.798994879150307</v>
      </c>
      <c r="AG90" t="s">
        <v>492</v>
      </c>
      <c r="AH90" t="s">
        <v>506</v>
      </c>
      <c r="AI90" t="s">
        <v>542</v>
      </c>
      <c r="AJ90" t="s">
        <v>543</v>
      </c>
    </row>
    <row r="91" spans="1:36" x14ac:dyDescent="0.3">
      <c r="A91" t="s">
        <v>622</v>
      </c>
      <c r="B91" t="s">
        <v>194</v>
      </c>
      <c r="C91" t="s">
        <v>490</v>
      </c>
      <c r="D91" s="9" t="s">
        <v>541</v>
      </c>
      <c r="E91" t="s">
        <v>49</v>
      </c>
      <c r="F91" t="s">
        <v>142</v>
      </c>
      <c r="G91" s="4">
        <v>6.94</v>
      </c>
      <c r="H91" s="4">
        <v>754.3</v>
      </c>
      <c r="I91" s="4">
        <v>484.3</v>
      </c>
      <c r="J91" s="4">
        <v>29.1</v>
      </c>
      <c r="K91" s="4">
        <v>48.3</v>
      </c>
      <c r="L91" s="4">
        <v>15.04</v>
      </c>
      <c r="M91" s="4">
        <v>49.62</v>
      </c>
      <c r="N91" s="4">
        <v>6.48</v>
      </c>
      <c r="O91" s="4">
        <v>153.21</v>
      </c>
      <c r="P91" s="4">
        <v>70.760000000000005</v>
      </c>
      <c r="Q91" s="4">
        <v>48.41</v>
      </c>
      <c r="R91" s="4">
        <v>38.99</v>
      </c>
      <c r="S91" s="4">
        <v>0.64</v>
      </c>
      <c r="T91" s="4">
        <v>-3.55</v>
      </c>
      <c r="U91" s="4">
        <v>-24.13</v>
      </c>
      <c r="V91" s="4">
        <v>0.16300000000000001</v>
      </c>
      <c r="W91" s="4">
        <v>47.9</v>
      </c>
      <c r="X91" s="4">
        <v>0.24</v>
      </c>
      <c r="Y91" s="4">
        <v>0.28999999999999998</v>
      </c>
      <c r="Z91" s="4">
        <v>-1.07</v>
      </c>
      <c r="AA91" s="4">
        <v>-4.66</v>
      </c>
      <c r="AB91" s="4">
        <f t="shared" si="5"/>
        <v>5.9720663179104276</v>
      </c>
      <c r="AC91" s="4">
        <f t="shared" si="6"/>
        <v>6.1772833471642308</v>
      </c>
      <c r="AD91" s="4">
        <f t="shared" si="7"/>
        <v>-1.6891194583339211</v>
      </c>
      <c r="AE91" s="4">
        <f t="shared" si="8"/>
        <v>1.5981954761115553</v>
      </c>
      <c r="AF91">
        <f t="shared" si="9"/>
        <v>38.917199643170157</v>
      </c>
      <c r="AG91" t="s">
        <v>497</v>
      </c>
      <c r="AH91" t="s">
        <v>48</v>
      </c>
      <c r="AI91" t="s">
        <v>487</v>
      </c>
      <c r="AJ91" t="s">
        <v>488</v>
      </c>
    </row>
    <row r="92" spans="1:36" x14ac:dyDescent="0.3">
      <c r="A92" t="s">
        <v>623</v>
      </c>
      <c r="B92" t="s">
        <v>197</v>
      </c>
      <c r="C92" t="s">
        <v>484</v>
      </c>
      <c r="D92" s="9" t="s">
        <v>570</v>
      </c>
      <c r="E92" t="s">
        <v>49</v>
      </c>
      <c r="F92" t="s">
        <v>101</v>
      </c>
      <c r="G92" s="4">
        <v>6.68</v>
      </c>
      <c r="H92" s="4">
        <v>628.29999999999995</v>
      </c>
      <c r="I92" s="4">
        <v>388.1</v>
      </c>
      <c r="J92" s="4">
        <v>27.9</v>
      </c>
      <c r="K92" s="4">
        <v>34.92</v>
      </c>
      <c r="L92" s="4">
        <v>10.55</v>
      </c>
      <c r="M92" s="4">
        <v>35.65</v>
      </c>
      <c r="N92" s="4">
        <v>3.88</v>
      </c>
      <c r="O92" s="4">
        <v>132.59</v>
      </c>
      <c r="P92" s="4">
        <v>46.23</v>
      </c>
      <c r="Q92" s="4">
        <v>30.52</v>
      </c>
      <c r="R92" s="4">
        <v>23.01</v>
      </c>
      <c r="S92" s="4">
        <v>0.13</v>
      </c>
      <c r="T92" s="4">
        <v>-3.88</v>
      </c>
      <c r="U92" s="4">
        <v>-26.92</v>
      </c>
      <c r="V92" s="4">
        <v>0.129</v>
      </c>
      <c r="W92" s="4">
        <v>65.900000000000006</v>
      </c>
      <c r="X92" s="4">
        <v>-0.36</v>
      </c>
      <c r="Y92" s="4">
        <v>-0.72</v>
      </c>
      <c r="Z92" s="4">
        <v>-1.05</v>
      </c>
      <c r="AA92" s="4">
        <v>-5.41</v>
      </c>
      <c r="AB92" s="4">
        <f t="shared" si="5"/>
        <v>4.2607155267540815</v>
      </c>
      <c r="AC92" s="4">
        <f t="shared" si="6"/>
        <v>4.4903952123307214</v>
      </c>
      <c r="AD92" s="4">
        <f t="shared" si="7"/>
        <v>-2.6245775242087719</v>
      </c>
      <c r="AE92" s="4">
        <f t="shared" si="8"/>
        <v>1.3572909966034656</v>
      </c>
      <c r="AF92">
        <f t="shared" si="9"/>
        <v>38.725408006461429</v>
      </c>
      <c r="AG92" t="s">
        <v>497</v>
      </c>
      <c r="AH92" t="s">
        <v>48</v>
      </c>
      <c r="AI92" t="s">
        <v>487</v>
      </c>
      <c r="AJ92" t="s">
        <v>488</v>
      </c>
    </row>
    <row r="93" spans="1:36" x14ac:dyDescent="0.3">
      <c r="A93" t="s">
        <v>624</v>
      </c>
      <c r="B93" t="s">
        <v>197</v>
      </c>
      <c r="C93" t="s">
        <v>490</v>
      </c>
      <c r="D93" s="9" t="s">
        <v>496</v>
      </c>
      <c r="E93" t="s">
        <v>49</v>
      </c>
      <c r="F93" t="s">
        <v>101</v>
      </c>
      <c r="G93" s="4">
        <v>6.79</v>
      </c>
      <c r="H93" s="4">
        <v>690.3</v>
      </c>
      <c r="I93" s="4">
        <v>495.7</v>
      </c>
      <c r="J93" s="4">
        <v>29.1</v>
      </c>
      <c r="K93" s="4">
        <v>44.63</v>
      </c>
      <c r="L93" s="4">
        <v>18.79</v>
      </c>
      <c r="M93" s="4">
        <v>46.45</v>
      </c>
      <c r="N93" s="4">
        <v>5.07</v>
      </c>
      <c r="O93" s="4">
        <v>161.22999999999999</v>
      </c>
      <c r="P93" s="4">
        <v>71.209999999999994</v>
      </c>
      <c r="Q93" s="4">
        <v>38.700000000000003</v>
      </c>
      <c r="R93" s="4">
        <v>31.37</v>
      </c>
      <c r="S93" s="4">
        <v>0.65</v>
      </c>
      <c r="T93" s="4">
        <v>-3.32</v>
      </c>
      <c r="U93" s="4">
        <v>-22.99</v>
      </c>
      <c r="V93" s="4">
        <v>0.14299999999999999</v>
      </c>
      <c r="W93" s="4">
        <v>66.099999999999994</v>
      </c>
      <c r="X93" s="4">
        <v>-0.21</v>
      </c>
      <c r="Y93" s="4">
        <v>-0.37</v>
      </c>
      <c r="Z93" s="4">
        <v>-1.38</v>
      </c>
      <c r="AA93" s="4">
        <v>-4.82</v>
      </c>
      <c r="AB93" s="4">
        <f t="shared" si="5"/>
        <v>5.923546667241844</v>
      </c>
      <c r="AC93" s="4">
        <f t="shared" si="6"/>
        <v>5.9968846862572702</v>
      </c>
      <c r="AD93" s="4">
        <f t="shared" si="7"/>
        <v>-0.61522957383499932</v>
      </c>
      <c r="AE93" s="4">
        <f t="shared" si="8"/>
        <v>1.4710167269383343</v>
      </c>
      <c r="AF93">
        <f t="shared" si="9"/>
        <v>36.29929553172957</v>
      </c>
      <c r="AG93" t="s">
        <v>497</v>
      </c>
      <c r="AH93" t="s">
        <v>48</v>
      </c>
      <c r="AI93" t="s">
        <v>487</v>
      </c>
      <c r="AJ93" t="s">
        <v>488</v>
      </c>
    </row>
    <row r="94" spans="1:36" x14ac:dyDescent="0.3">
      <c r="A94" t="s">
        <v>625</v>
      </c>
      <c r="B94" t="s">
        <v>199</v>
      </c>
      <c r="C94" t="s">
        <v>484</v>
      </c>
      <c r="D94" s="9" t="s">
        <v>520</v>
      </c>
      <c r="E94" t="s">
        <v>49</v>
      </c>
      <c r="F94" t="s">
        <v>75</v>
      </c>
      <c r="G94" s="4">
        <v>7.37</v>
      </c>
      <c r="H94" s="4">
        <v>641.1</v>
      </c>
      <c r="I94" s="4">
        <v>362.3</v>
      </c>
      <c r="J94" s="4">
        <v>28</v>
      </c>
      <c r="K94" s="4">
        <v>28.74</v>
      </c>
      <c r="L94" s="4">
        <v>11.74</v>
      </c>
      <c r="M94" s="4">
        <v>35.44</v>
      </c>
      <c r="N94" s="4">
        <v>3.93</v>
      </c>
      <c r="O94" s="4">
        <v>123.91</v>
      </c>
      <c r="P94" s="4">
        <v>34.15</v>
      </c>
      <c r="Q94" s="4">
        <v>34.200000000000003</v>
      </c>
      <c r="R94" s="4">
        <v>19.02</v>
      </c>
      <c r="S94" s="4">
        <v>0.49</v>
      </c>
      <c r="T94" s="4">
        <v>-4.8</v>
      </c>
      <c r="U94" s="4">
        <v>-25.48</v>
      </c>
      <c r="V94" s="4">
        <v>0.30599999999999999</v>
      </c>
      <c r="W94" s="4">
        <v>56.5</v>
      </c>
      <c r="X94" s="4">
        <v>-0.13</v>
      </c>
      <c r="Y94" s="4">
        <v>0.18</v>
      </c>
      <c r="Z94" s="4">
        <v>-1.24</v>
      </c>
      <c r="AA94" s="4">
        <v>-4.92</v>
      </c>
      <c r="AB94" s="4">
        <f t="shared" si="5"/>
        <v>4.0423831764813984</v>
      </c>
      <c r="AC94" s="4">
        <f t="shared" si="6"/>
        <v>4.0386230327198316</v>
      </c>
      <c r="AD94" s="4">
        <f t="shared" si="7"/>
        <v>4.6530638193118416E-2</v>
      </c>
      <c r="AE94" s="4">
        <f t="shared" si="8"/>
        <v>1.4072119572194739</v>
      </c>
      <c r="AF94">
        <f t="shared" si="9"/>
        <v>40.622658323796308</v>
      </c>
      <c r="AG94" t="s">
        <v>492</v>
      </c>
      <c r="AH94" t="s">
        <v>500</v>
      </c>
      <c r="AI94" t="s">
        <v>487</v>
      </c>
      <c r="AJ94" t="s">
        <v>488</v>
      </c>
    </row>
    <row r="95" spans="1:36" x14ac:dyDescent="0.3">
      <c r="A95" t="s">
        <v>626</v>
      </c>
      <c r="B95" t="s">
        <v>199</v>
      </c>
      <c r="C95" t="s">
        <v>490</v>
      </c>
      <c r="D95" s="9" t="s">
        <v>535</v>
      </c>
      <c r="E95" t="s">
        <v>49</v>
      </c>
      <c r="F95" t="s">
        <v>75</v>
      </c>
      <c r="G95" s="4">
        <v>7.03</v>
      </c>
      <c r="H95" s="4">
        <v>888.9</v>
      </c>
      <c r="I95" s="4">
        <v>586.9</v>
      </c>
      <c r="J95" s="4">
        <v>30.9</v>
      </c>
      <c r="K95" s="4">
        <v>58.11</v>
      </c>
      <c r="L95" s="4">
        <v>19.61</v>
      </c>
      <c r="M95" s="4">
        <v>60.66</v>
      </c>
      <c r="N95" s="4">
        <v>5.43</v>
      </c>
      <c r="O95" s="4">
        <v>180.48</v>
      </c>
      <c r="P95" s="4">
        <v>76.11</v>
      </c>
      <c r="Q95" s="4">
        <v>66.61</v>
      </c>
      <c r="R95" s="4">
        <v>55.53</v>
      </c>
      <c r="S95" s="4">
        <v>0.95</v>
      </c>
      <c r="T95" s="4">
        <v>-3.56</v>
      </c>
      <c r="U95" s="4">
        <v>-25.04</v>
      </c>
      <c r="V95" s="4">
        <v>0.29899999999999999</v>
      </c>
      <c r="W95" s="4">
        <v>55.1</v>
      </c>
      <c r="X95" s="4">
        <v>-0.3</v>
      </c>
      <c r="Y95" s="4">
        <v>-0.64</v>
      </c>
      <c r="Z95" s="4">
        <v>-0.87</v>
      </c>
      <c r="AA95" s="4">
        <v>-5.13</v>
      </c>
      <c r="AB95" s="4">
        <f t="shared" si="5"/>
        <v>7.2910400956450401</v>
      </c>
      <c r="AC95" s="4">
        <f t="shared" si="6"/>
        <v>7.4371197672768679</v>
      </c>
      <c r="AD95" s="4">
        <f t="shared" si="7"/>
        <v>-0.99183925888517044</v>
      </c>
      <c r="AE95" s="4">
        <f t="shared" si="8"/>
        <v>1.7564684670425954</v>
      </c>
      <c r="AF95">
        <f t="shared" si="9"/>
        <v>38.095182810038786</v>
      </c>
      <c r="AG95" t="s">
        <v>497</v>
      </c>
      <c r="AH95" t="s">
        <v>506</v>
      </c>
      <c r="AI95" t="s">
        <v>487</v>
      </c>
      <c r="AJ95" t="s">
        <v>488</v>
      </c>
    </row>
    <row r="96" spans="1:36" x14ac:dyDescent="0.3">
      <c r="A96" t="s">
        <v>627</v>
      </c>
      <c r="B96" t="s">
        <v>201</v>
      </c>
      <c r="C96" t="s">
        <v>484</v>
      </c>
      <c r="D96" s="9" t="s">
        <v>628</v>
      </c>
      <c r="E96" t="s">
        <v>49</v>
      </c>
      <c r="F96" t="s">
        <v>101</v>
      </c>
      <c r="G96" s="4">
        <v>7.32</v>
      </c>
      <c r="H96" s="4">
        <v>556.6</v>
      </c>
      <c r="I96" s="4">
        <v>362.8</v>
      </c>
      <c r="J96" s="4">
        <v>27.7</v>
      </c>
      <c r="K96" s="4">
        <v>32.89</v>
      </c>
      <c r="L96" s="4">
        <v>10.72</v>
      </c>
      <c r="M96" s="4">
        <v>38.53</v>
      </c>
      <c r="N96" s="4">
        <v>3.46</v>
      </c>
      <c r="O96" s="4">
        <v>108.13</v>
      </c>
      <c r="P96" s="4">
        <v>53.06</v>
      </c>
      <c r="Q96" s="4">
        <v>33.24</v>
      </c>
      <c r="R96" s="4">
        <v>18.47</v>
      </c>
      <c r="S96" s="4">
        <v>0.37</v>
      </c>
      <c r="T96" s="4">
        <v>-4.2699999999999996</v>
      </c>
      <c r="U96" s="4">
        <v>-23.9</v>
      </c>
      <c r="V96" s="4">
        <v>9.4E-2</v>
      </c>
      <c r="W96" s="4">
        <v>60.5</v>
      </c>
      <c r="X96" s="4">
        <v>-0.14000000000000001</v>
      </c>
      <c r="Y96" s="4">
        <v>0.02</v>
      </c>
      <c r="Z96" s="4">
        <v>-1.1499999999999999</v>
      </c>
      <c r="AA96" s="4">
        <v>-5.26</v>
      </c>
      <c r="AB96" s="4">
        <f t="shared" si="5"/>
        <v>4.2879370268094394</v>
      </c>
      <c r="AC96" s="4">
        <f t="shared" si="6"/>
        <v>4.2782103385420633</v>
      </c>
      <c r="AD96" s="4">
        <f t="shared" si="7"/>
        <v>0.11354799132593466</v>
      </c>
      <c r="AE96" s="4">
        <f t="shared" si="8"/>
        <v>1.4921034763967658</v>
      </c>
      <c r="AF96">
        <f t="shared" si="9"/>
        <v>41.150663589068969</v>
      </c>
      <c r="AG96" t="s">
        <v>606</v>
      </c>
      <c r="AH96" t="s">
        <v>48</v>
      </c>
      <c r="AI96" t="s">
        <v>487</v>
      </c>
      <c r="AJ96" t="s">
        <v>488</v>
      </c>
    </row>
    <row r="97" spans="1:36" x14ac:dyDescent="0.3">
      <c r="A97" t="s">
        <v>629</v>
      </c>
      <c r="B97" t="s">
        <v>201</v>
      </c>
      <c r="C97" t="s">
        <v>490</v>
      </c>
      <c r="D97" s="9" t="s">
        <v>597</v>
      </c>
      <c r="E97" t="s">
        <v>49</v>
      </c>
      <c r="F97" t="s">
        <v>101</v>
      </c>
      <c r="G97" s="4">
        <v>7.21</v>
      </c>
      <c r="H97" s="4">
        <v>707.7</v>
      </c>
      <c r="I97" s="4">
        <v>495.4</v>
      </c>
      <c r="J97" s="4">
        <v>28.1</v>
      </c>
      <c r="K97" s="4">
        <v>45.6</v>
      </c>
      <c r="L97" s="4">
        <v>20.85</v>
      </c>
      <c r="M97" s="4">
        <v>44.09</v>
      </c>
      <c r="N97" s="4">
        <v>6.94</v>
      </c>
      <c r="O97" s="4">
        <v>173.8</v>
      </c>
      <c r="P97" s="4">
        <v>60.57</v>
      </c>
      <c r="Q97" s="4">
        <v>29.63</v>
      </c>
      <c r="R97" s="4">
        <v>39.86</v>
      </c>
      <c r="S97" s="4">
        <v>0.46</v>
      </c>
      <c r="T97" s="4">
        <v>-3.11</v>
      </c>
      <c r="U97" s="4">
        <v>-18.309999999999999</v>
      </c>
      <c r="V97" s="4">
        <v>0.191</v>
      </c>
      <c r="W97" s="4">
        <v>59.2</v>
      </c>
      <c r="X97" s="4">
        <v>0.25</v>
      </c>
      <c r="Y97" s="4">
        <v>-0.36</v>
      </c>
      <c r="Z97" s="4">
        <v>-0.78</v>
      </c>
      <c r="AA97" s="4">
        <v>-5.33</v>
      </c>
      <c r="AB97" s="4">
        <f t="shared" si="5"/>
        <v>6.0866354628743027</v>
      </c>
      <c r="AC97" s="4">
        <f t="shared" si="6"/>
        <v>5.8408638796704784</v>
      </c>
      <c r="AD97" s="4">
        <f t="shared" si="7"/>
        <v>2.0605457702870678</v>
      </c>
      <c r="AE97" s="4">
        <f t="shared" si="8"/>
        <v>1.3576257303123023</v>
      </c>
      <c r="AF97">
        <f t="shared" si="9"/>
        <v>34.425857504597417</v>
      </c>
      <c r="AG97" t="s">
        <v>497</v>
      </c>
      <c r="AH97" t="s">
        <v>48</v>
      </c>
      <c r="AI97" t="s">
        <v>487</v>
      </c>
      <c r="AJ97" t="s">
        <v>488</v>
      </c>
    </row>
    <row r="98" spans="1:36" x14ac:dyDescent="0.3">
      <c r="A98" t="s">
        <v>630</v>
      </c>
      <c r="B98" t="s">
        <v>204</v>
      </c>
      <c r="C98" t="s">
        <v>484</v>
      </c>
      <c r="D98" s="9" t="s">
        <v>485</v>
      </c>
      <c r="E98" t="s">
        <v>49</v>
      </c>
      <c r="F98" t="s">
        <v>142</v>
      </c>
      <c r="G98" s="4">
        <v>6.82</v>
      </c>
      <c r="H98" s="4">
        <v>575.5</v>
      </c>
      <c r="I98" s="4">
        <v>379.8</v>
      </c>
      <c r="J98" s="4">
        <v>28.8</v>
      </c>
      <c r="K98" s="4">
        <v>39.89</v>
      </c>
      <c r="L98" s="4">
        <v>15.03</v>
      </c>
      <c r="M98" s="4">
        <v>28.43</v>
      </c>
      <c r="N98" s="4">
        <v>3.07</v>
      </c>
      <c r="O98" s="4">
        <v>139.68</v>
      </c>
      <c r="P98" s="4">
        <v>39.65</v>
      </c>
      <c r="Q98" s="4">
        <v>36.74</v>
      </c>
      <c r="R98" s="4">
        <v>23.9</v>
      </c>
      <c r="S98" s="4">
        <v>0.38</v>
      </c>
      <c r="T98" s="4">
        <v>-3.7</v>
      </c>
      <c r="U98" s="4">
        <v>-25.36</v>
      </c>
      <c r="V98" s="4">
        <v>0.219</v>
      </c>
      <c r="W98" s="4">
        <v>45.3</v>
      </c>
      <c r="X98" s="4">
        <v>-0.46</v>
      </c>
      <c r="Y98" s="4">
        <v>-0.68</v>
      </c>
      <c r="Z98" s="4">
        <v>-1.05</v>
      </c>
      <c r="AA98" s="4">
        <v>-4.67</v>
      </c>
      <c r="AB98" s="4">
        <f t="shared" si="5"/>
        <v>4.5425999012120144</v>
      </c>
      <c r="AC98" s="4">
        <f t="shared" si="6"/>
        <v>4.5780117869067691</v>
      </c>
      <c r="AD98" s="4">
        <f t="shared" si="7"/>
        <v>-0.38826217917911143</v>
      </c>
      <c r="AE98" s="4">
        <f t="shared" si="8"/>
        <v>0.97352099678023551</v>
      </c>
      <c r="AF98">
        <f t="shared" si="9"/>
        <v>28.95256197899382</v>
      </c>
      <c r="AG98" t="s">
        <v>486</v>
      </c>
      <c r="AH98" t="s">
        <v>48</v>
      </c>
      <c r="AI98" t="s">
        <v>487</v>
      </c>
      <c r="AJ98" t="s">
        <v>488</v>
      </c>
    </row>
    <row r="99" spans="1:36" x14ac:dyDescent="0.3">
      <c r="A99" t="s">
        <v>631</v>
      </c>
      <c r="B99" t="s">
        <v>204</v>
      </c>
      <c r="C99" t="s">
        <v>490</v>
      </c>
      <c r="D99" s="9" t="s">
        <v>597</v>
      </c>
      <c r="E99" t="s">
        <v>49</v>
      </c>
      <c r="F99" t="s">
        <v>142</v>
      </c>
      <c r="G99" s="4">
        <v>7.11</v>
      </c>
      <c r="H99" s="4">
        <v>710.9</v>
      </c>
      <c r="I99" s="4">
        <v>456.7</v>
      </c>
      <c r="J99" s="4">
        <v>29.3</v>
      </c>
      <c r="K99" s="4">
        <v>46.35</v>
      </c>
      <c r="L99" s="4">
        <v>17.02</v>
      </c>
      <c r="M99" s="4">
        <v>46.85</v>
      </c>
      <c r="N99" s="4">
        <v>6.2</v>
      </c>
      <c r="O99" s="4">
        <v>136.76</v>
      </c>
      <c r="P99" s="4">
        <v>87.64</v>
      </c>
      <c r="Q99" s="4">
        <v>43.62</v>
      </c>
      <c r="R99" s="4">
        <v>22.76</v>
      </c>
      <c r="S99" s="4">
        <v>0.8</v>
      </c>
      <c r="T99" s="4">
        <v>-3.26</v>
      </c>
      <c r="U99" s="4">
        <v>-16.95</v>
      </c>
      <c r="V99" s="4">
        <v>0.19700000000000001</v>
      </c>
      <c r="W99" s="4">
        <v>40.700000000000003</v>
      </c>
      <c r="X99" s="4">
        <v>-0.26</v>
      </c>
      <c r="Y99" s="4">
        <v>-0.57999999999999996</v>
      </c>
      <c r="Z99" s="4">
        <v>-1.22</v>
      </c>
      <c r="AA99" s="4">
        <v>-5.41</v>
      </c>
      <c r="AB99" s="4">
        <f t="shared" si="5"/>
        <v>5.9100316102257873</v>
      </c>
      <c r="AC99" s="4">
        <f t="shared" si="6"/>
        <v>6.0307443460801355</v>
      </c>
      <c r="AD99" s="4">
        <f t="shared" si="7"/>
        <v>-1.0109287394392479</v>
      </c>
      <c r="AE99" s="4">
        <f t="shared" si="8"/>
        <v>1.4955859055914948</v>
      </c>
      <c r="AF99">
        <f t="shared" si="9"/>
        <v>37.165741498127261</v>
      </c>
      <c r="AG99" t="s">
        <v>632</v>
      </c>
      <c r="AH99" t="s">
        <v>48</v>
      </c>
      <c r="AI99" t="s">
        <v>487</v>
      </c>
      <c r="AJ99" t="s">
        <v>488</v>
      </c>
    </row>
    <row r="100" spans="1:36" x14ac:dyDescent="0.3">
      <c r="A100" t="s">
        <v>633</v>
      </c>
      <c r="B100" t="s">
        <v>206</v>
      </c>
      <c r="C100" t="s">
        <v>484</v>
      </c>
      <c r="D100" s="9" t="s">
        <v>570</v>
      </c>
      <c r="E100" t="s">
        <v>49</v>
      </c>
      <c r="F100" t="s">
        <v>75</v>
      </c>
      <c r="G100" s="4">
        <v>7.79</v>
      </c>
      <c r="H100" s="4">
        <v>699.4</v>
      </c>
      <c r="I100" s="4">
        <v>446.4</v>
      </c>
      <c r="J100" s="4">
        <v>28.3</v>
      </c>
      <c r="K100" s="4">
        <v>34.369999999999997</v>
      </c>
      <c r="L100" s="4">
        <v>14.75</v>
      </c>
      <c r="M100" s="4">
        <v>43.55</v>
      </c>
      <c r="N100" s="4">
        <v>4.13</v>
      </c>
      <c r="O100" s="4">
        <v>134.21</v>
      </c>
      <c r="P100" s="4">
        <v>44.87</v>
      </c>
      <c r="Q100" s="4">
        <v>47.46</v>
      </c>
      <c r="R100" s="4">
        <v>64.94</v>
      </c>
      <c r="S100" s="4">
        <v>0.68</v>
      </c>
      <c r="T100" s="4">
        <v>-3.96</v>
      </c>
      <c r="U100" s="4">
        <v>-25.03</v>
      </c>
      <c r="V100" s="4">
        <v>0.19800000000000001</v>
      </c>
      <c r="W100" s="4">
        <v>50.5</v>
      </c>
      <c r="X100" s="4">
        <v>-0.19</v>
      </c>
      <c r="Y100" s="4">
        <v>-0.44</v>
      </c>
      <c r="Z100" s="4">
        <v>-0.84</v>
      </c>
      <c r="AA100" s="4">
        <v>-5.28</v>
      </c>
      <c r="AB100" s="4">
        <f t="shared" si="5"/>
        <v>4.9289137476428984</v>
      </c>
      <c r="AC100" s="4">
        <f t="shared" si="6"/>
        <v>5.5364685042558248</v>
      </c>
      <c r="AD100" s="4">
        <f t="shared" si="7"/>
        <v>-5.8053756851805236</v>
      </c>
      <c r="AE100" s="4">
        <f t="shared" si="8"/>
        <v>1.5654204107236507</v>
      </c>
      <c r="AF100">
        <f t="shared" si="9"/>
        <v>40.57722197576571</v>
      </c>
      <c r="AG100" t="s">
        <v>492</v>
      </c>
      <c r="AH100" t="s">
        <v>506</v>
      </c>
      <c r="AI100" t="s">
        <v>542</v>
      </c>
      <c r="AJ100" t="s">
        <v>543</v>
      </c>
    </row>
    <row r="101" spans="1:36" x14ac:dyDescent="0.3">
      <c r="A101" t="s">
        <v>634</v>
      </c>
      <c r="B101" t="s">
        <v>206</v>
      </c>
      <c r="C101" t="s">
        <v>490</v>
      </c>
      <c r="D101" s="9" t="s">
        <v>553</v>
      </c>
      <c r="E101" t="s">
        <v>49</v>
      </c>
      <c r="F101" t="s">
        <v>75</v>
      </c>
      <c r="G101" s="4">
        <v>7.74</v>
      </c>
      <c r="H101" s="4">
        <v>972.2</v>
      </c>
      <c r="I101" s="4">
        <v>567.9</v>
      </c>
      <c r="J101" s="4">
        <v>29.2</v>
      </c>
      <c r="K101" s="4">
        <v>50.61</v>
      </c>
      <c r="L101" s="4">
        <v>20.74</v>
      </c>
      <c r="M101" s="4">
        <v>56.04</v>
      </c>
      <c r="N101" s="4">
        <v>7.94</v>
      </c>
      <c r="O101" s="4">
        <v>182</v>
      </c>
      <c r="P101" s="4">
        <v>73</v>
      </c>
      <c r="Q101" s="4">
        <v>55.71</v>
      </c>
      <c r="R101" s="4">
        <v>59.99</v>
      </c>
      <c r="S101" s="4">
        <v>0.76</v>
      </c>
      <c r="T101" s="4">
        <v>-3.26</v>
      </c>
      <c r="U101" s="4">
        <v>-16.399999999999999</v>
      </c>
      <c r="V101" s="4">
        <v>0.251</v>
      </c>
      <c r="W101" s="4">
        <v>57.5</v>
      </c>
      <c r="X101" s="4">
        <v>0.37</v>
      </c>
      <c r="Y101" s="4">
        <v>0.41</v>
      </c>
      <c r="Z101" s="4">
        <v>-1.27</v>
      </c>
      <c r="AA101" s="4">
        <v>-4.95</v>
      </c>
      <c r="AB101" s="4">
        <f t="shared" si="5"/>
        <v>6.8729868829278598</v>
      </c>
      <c r="AC101" s="4">
        <f t="shared" si="6"/>
        <v>7.2092967448677685</v>
      </c>
      <c r="AD101" s="4">
        <f t="shared" si="7"/>
        <v>-2.3881770231931698</v>
      </c>
      <c r="AE101" s="4">
        <f t="shared" si="8"/>
        <v>1.6757488660256576</v>
      </c>
      <c r="AF101">
        <f t="shared" si="9"/>
        <v>38.422407551511569</v>
      </c>
      <c r="AG101" t="s">
        <v>492</v>
      </c>
      <c r="AH101" t="s">
        <v>506</v>
      </c>
      <c r="AI101" t="s">
        <v>487</v>
      </c>
      <c r="AJ101" t="s">
        <v>488</v>
      </c>
    </row>
    <row r="102" spans="1:36" x14ac:dyDescent="0.3">
      <c r="A102" t="s">
        <v>635</v>
      </c>
      <c r="B102" t="s">
        <v>209</v>
      </c>
      <c r="C102" t="s">
        <v>484</v>
      </c>
      <c r="D102" s="9" t="s">
        <v>520</v>
      </c>
      <c r="E102" t="s">
        <v>49</v>
      </c>
      <c r="F102" t="s">
        <v>101</v>
      </c>
      <c r="G102" s="4">
        <v>6.73</v>
      </c>
      <c r="H102" s="4">
        <v>636.79999999999995</v>
      </c>
      <c r="I102" s="4">
        <v>375.7</v>
      </c>
      <c r="J102" s="4">
        <v>28.9</v>
      </c>
      <c r="K102" s="4">
        <v>37.78</v>
      </c>
      <c r="L102" s="4">
        <v>12.47</v>
      </c>
      <c r="M102" s="4">
        <v>28.55</v>
      </c>
      <c r="N102" s="4">
        <v>4.34</v>
      </c>
      <c r="O102" s="4">
        <v>112.34</v>
      </c>
      <c r="P102" s="4">
        <v>48.08</v>
      </c>
      <c r="Q102" s="4">
        <v>37.36</v>
      </c>
      <c r="R102" s="4">
        <v>20.22</v>
      </c>
      <c r="S102" s="4">
        <v>0.46</v>
      </c>
      <c r="T102" s="4">
        <v>-4.5199999999999996</v>
      </c>
      <c r="U102" s="4">
        <v>-25.97</v>
      </c>
      <c r="V102" s="4">
        <v>0.16</v>
      </c>
      <c r="W102" s="4">
        <v>68.900000000000006</v>
      </c>
      <c r="X102" s="4">
        <v>-0.52</v>
      </c>
      <c r="Y102" s="4">
        <v>-0.65</v>
      </c>
      <c r="Z102" s="4">
        <v>-1.17</v>
      </c>
      <c r="AA102" s="4">
        <v>-5.36</v>
      </c>
      <c r="AB102" s="4">
        <f t="shared" si="5"/>
        <v>4.2643513499523884</v>
      </c>
      <c r="AC102" s="4">
        <f t="shared" si="6"/>
        <v>4.3254816103193194</v>
      </c>
      <c r="AD102" s="4">
        <f t="shared" si="7"/>
        <v>-0.71165831337653174</v>
      </c>
      <c r="AE102" s="4">
        <f t="shared" si="8"/>
        <v>1.029310415223575</v>
      </c>
      <c r="AF102">
        <f t="shared" si="9"/>
        <v>31.725843124204239</v>
      </c>
      <c r="AG102" t="s">
        <v>486</v>
      </c>
      <c r="AH102" t="s">
        <v>48</v>
      </c>
      <c r="AI102" t="s">
        <v>487</v>
      </c>
      <c r="AJ102" t="s">
        <v>488</v>
      </c>
    </row>
    <row r="103" spans="1:36" x14ac:dyDescent="0.3">
      <c r="A103" t="s">
        <v>636</v>
      </c>
      <c r="B103" t="s">
        <v>209</v>
      </c>
      <c r="C103" t="s">
        <v>490</v>
      </c>
      <c r="D103" s="9" t="s">
        <v>496</v>
      </c>
      <c r="E103" t="s">
        <v>49</v>
      </c>
      <c r="F103" t="s">
        <v>101</v>
      </c>
      <c r="G103" s="4">
        <v>6.63</v>
      </c>
      <c r="H103" s="4">
        <v>794.1</v>
      </c>
      <c r="I103" s="4">
        <v>489.7</v>
      </c>
      <c r="J103" s="4">
        <v>29.7</v>
      </c>
      <c r="K103" s="4">
        <v>40.770000000000003</v>
      </c>
      <c r="L103" s="4">
        <v>15.71</v>
      </c>
      <c r="M103" s="4">
        <v>59.25</v>
      </c>
      <c r="N103" s="4">
        <v>5.54</v>
      </c>
      <c r="O103" s="4">
        <v>148.44</v>
      </c>
      <c r="P103" s="4">
        <v>80.849999999999994</v>
      </c>
      <c r="Q103" s="4">
        <v>32.85</v>
      </c>
      <c r="R103" s="4">
        <v>22.63</v>
      </c>
      <c r="S103" s="4">
        <v>0.32</v>
      </c>
      <c r="T103" s="4">
        <v>-3.37</v>
      </c>
      <c r="U103" s="4">
        <v>-21.82</v>
      </c>
      <c r="V103" s="4">
        <v>0.215</v>
      </c>
      <c r="W103" s="4">
        <v>68.8</v>
      </c>
      <c r="X103" s="4">
        <v>-0.06</v>
      </c>
      <c r="Y103" s="4">
        <v>-0.63</v>
      </c>
      <c r="Z103" s="4">
        <v>-1.1100000000000001</v>
      </c>
      <c r="AA103" s="4">
        <v>-5.16</v>
      </c>
      <c r="AB103" s="4">
        <f t="shared" si="5"/>
        <v>6.0462855960451209</v>
      </c>
      <c r="AC103" s="4">
        <f t="shared" si="6"/>
        <v>5.7790510979911742</v>
      </c>
      <c r="AD103" s="4">
        <f t="shared" si="7"/>
        <v>2.2598468438426562</v>
      </c>
      <c r="AE103" s="4">
        <f t="shared" si="8"/>
        <v>1.9982011249559408</v>
      </c>
      <c r="AF103">
        <f t="shared" si="9"/>
        <v>44.970003017798803</v>
      </c>
      <c r="AG103" t="s">
        <v>637</v>
      </c>
      <c r="AH103" t="s">
        <v>48</v>
      </c>
      <c r="AI103" t="s">
        <v>487</v>
      </c>
      <c r="AJ103" t="s">
        <v>488</v>
      </c>
    </row>
    <row r="104" spans="1:36" x14ac:dyDescent="0.3">
      <c r="A104" t="s">
        <v>638</v>
      </c>
      <c r="B104" t="s">
        <v>211</v>
      </c>
      <c r="C104" t="s">
        <v>484</v>
      </c>
      <c r="D104" s="9" t="s">
        <v>565</v>
      </c>
      <c r="E104" t="s">
        <v>49</v>
      </c>
      <c r="F104" t="s">
        <v>101</v>
      </c>
      <c r="G104" s="4">
        <v>6.96</v>
      </c>
      <c r="H104" s="4">
        <v>540</v>
      </c>
      <c r="I104" s="4">
        <v>357.2</v>
      </c>
      <c r="J104" s="4">
        <v>28.9</v>
      </c>
      <c r="K104" s="4">
        <v>28.3</v>
      </c>
      <c r="L104" s="4">
        <v>12.66</v>
      </c>
      <c r="M104" s="4">
        <v>28.6</v>
      </c>
      <c r="N104" s="4">
        <v>4.4000000000000004</v>
      </c>
      <c r="O104" s="4">
        <v>125.69</v>
      </c>
      <c r="P104" s="4">
        <v>41.17</v>
      </c>
      <c r="Q104" s="4">
        <v>28.62</v>
      </c>
      <c r="R104" s="4">
        <v>7.85</v>
      </c>
      <c r="S104" s="4">
        <v>0.61</v>
      </c>
      <c r="T104" s="4">
        <v>-4.09</v>
      </c>
      <c r="U104" s="4">
        <v>-24.38</v>
      </c>
      <c r="V104" s="4">
        <v>0.20499999999999999</v>
      </c>
      <c r="W104" s="4">
        <v>64.900000000000006</v>
      </c>
      <c r="X104" s="4">
        <v>-0.2</v>
      </c>
      <c r="Y104" s="4">
        <v>-0.83</v>
      </c>
      <c r="Z104" s="4">
        <v>-1.42</v>
      </c>
      <c r="AA104" s="4">
        <v>-4.8600000000000003</v>
      </c>
      <c r="AB104" s="4">
        <f t="shared" si="5"/>
        <v>3.8106180527419187</v>
      </c>
      <c r="AC104" s="4">
        <f t="shared" si="6"/>
        <v>3.9757963522223148</v>
      </c>
      <c r="AD104" s="4">
        <f t="shared" si="7"/>
        <v>-2.1213653793598057</v>
      </c>
      <c r="AE104" s="4">
        <f t="shared" si="8"/>
        <v>1.12311194297112</v>
      </c>
      <c r="AF104">
        <f t="shared" si="9"/>
        <v>35.600812239993395</v>
      </c>
      <c r="AG104" t="s">
        <v>497</v>
      </c>
      <c r="AH104" t="s">
        <v>48</v>
      </c>
      <c r="AI104" t="s">
        <v>487</v>
      </c>
      <c r="AJ104" t="s">
        <v>488</v>
      </c>
    </row>
    <row r="105" spans="1:36" x14ac:dyDescent="0.3">
      <c r="A105" t="s">
        <v>639</v>
      </c>
      <c r="B105" t="s">
        <v>211</v>
      </c>
      <c r="C105" t="s">
        <v>490</v>
      </c>
      <c r="D105" s="9" t="s">
        <v>532</v>
      </c>
      <c r="E105" t="s">
        <v>49</v>
      </c>
      <c r="F105" t="s">
        <v>101</v>
      </c>
      <c r="G105" s="4">
        <v>7.01</v>
      </c>
      <c r="H105" s="4">
        <v>916</v>
      </c>
      <c r="I105" s="4">
        <v>549.9</v>
      </c>
      <c r="J105" s="4">
        <v>30.2</v>
      </c>
      <c r="K105" s="4">
        <v>52.37</v>
      </c>
      <c r="L105" s="4">
        <v>24.27</v>
      </c>
      <c r="M105" s="4">
        <v>56.61</v>
      </c>
      <c r="N105" s="4">
        <v>8.1</v>
      </c>
      <c r="O105" s="4">
        <v>179.74</v>
      </c>
      <c r="P105" s="4">
        <v>77.37</v>
      </c>
      <c r="Q105" s="4">
        <v>57.51</v>
      </c>
      <c r="R105" s="4">
        <v>34</v>
      </c>
      <c r="S105" s="4">
        <v>0.57999999999999996</v>
      </c>
      <c r="T105" s="4">
        <v>-4.01</v>
      </c>
      <c r="U105" s="4">
        <v>-26.7</v>
      </c>
      <c r="V105" s="4">
        <v>0.17799999999999999</v>
      </c>
      <c r="W105" s="4">
        <v>57.1</v>
      </c>
      <c r="X105" s="4">
        <v>0.02</v>
      </c>
      <c r="Y105" s="4">
        <v>0.06</v>
      </c>
      <c r="Z105" s="4">
        <v>-0.91</v>
      </c>
      <c r="AA105" s="4">
        <v>-4.18</v>
      </c>
      <c r="AB105" s="4">
        <f t="shared" si="5"/>
        <v>7.2801775756126315</v>
      </c>
      <c r="AC105" s="4">
        <f t="shared" si="6"/>
        <v>6.9043605374167019</v>
      </c>
      <c r="AD105" s="4">
        <f t="shared" si="7"/>
        <v>2.6494837914441467</v>
      </c>
      <c r="AE105" s="4">
        <f t="shared" si="8"/>
        <v>1.6218584149659003</v>
      </c>
      <c r="AF105">
        <f t="shared" si="9"/>
        <v>36.670173924292882</v>
      </c>
      <c r="AG105" t="s">
        <v>492</v>
      </c>
      <c r="AH105" t="s">
        <v>48</v>
      </c>
      <c r="AI105" t="s">
        <v>487</v>
      </c>
      <c r="AJ105" t="s">
        <v>488</v>
      </c>
    </row>
    <row r="106" spans="1:36" x14ac:dyDescent="0.3">
      <c r="A106" t="s">
        <v>640</v>
      </c>
      <c r="B106" t="s">
        <v>213</v>
      </c>
      <c r="C106" t="s">
        <v>484</v>
      </c>
      <c r="D106" s="9" t="s">
        <v>499</v>
      </c>
      <c r="E106" t="s">
        <v>49</v>
      </c>
      <c r="F106" t="s">
        <v>75</v>
      </c>
      <c r="G106" s="4">
        <v>6.91</v>
      </c>
      <c r="H106" s="4">
        <v>575.4</v>
      </c>
      <c r="I106" s="4">
        <v>371.6</v>
      </c>
      <c r="J106" s="4">
        <v>27.4</v>
      </c>
      <c r="K106" s="4">
        <v>31.73</v>
      </c>
      <c r="L106" s="4">
        <v>11.71</v>
      </c>
      <c r="M106" s="4">
        <v>35.340000000000003</v>
      </c>
      <c r="N106" s="4">
        <v>3.58</v>
      </c>
      <c r="O106" s="4">
        <v>151.31</v>
      </c>
      <c r="P106" s="4">
        <v>36.020000000000003</v>
      </c>
      <c r="Q106" s="4">
        <v>24.02</v>
      </c>
      <c r="R106" s="4">
        <v>21.87</v>
      </c>
      <c r="S106" s="4">
        <v>0.42</v>
      </c>
      <c r="T106" s="4">
        <v>-4.37</v>
      </c>
      <c r="U106" s="4">
        <v>-30.31</v>
      </c>
      <c r="V106" s="4">
        <v>0.221</v>
      </c>
      <c r="W106" s="4">
        <v>39.9</v>
      </c>
      <c r="X106" s="4">
        <v>-0.19</v>
      </c>
      <c r="Y106" s="4">
        <v>-0.62</v>
      </c>
      <c r="Z106" s="4">
        <v>-0.88</v>
      </c>
      <c r="AA106" s="4">
        <v>-4.88</v>
      </c>
      <c r="AB106" s="4">
        <f t="shared" si="5"/>
        <v>4.1758218199719197</v>
      </c>
      <c r="AC106" s="4">
        <f t="shared" si="6"/>
        <v>4.3707601094821094</v>
      </c>
      <c r="AD106" s="4">
        <f t="shared" si="7"/>
        <v>-2.2808918362834052</v>
      </c>
      <c r="AE106" s="4">
        <f t="shared" si="8"/>
        <v>1.3622191553783125</v>
      </c>
      <c r="AF106">
        <f t="shared" si="9"/>
        <v>39.006016183638401</v>
      </c>
      <c r="AG106" t="s">
        <v>492</v>
      </c>
      <c r="AH106" t="s">
        <v>500</v>
      </c>
      <c r="AI106" t="s">
        <v>487</v>
      </c>
      <c r="AJ106" t="s">
        <v>488</v>
      </c>
    </row>
    <row r="107" spans="1:36" x14ac:dyDescent="0.3">
      <c r="A107" t="s">
        <v>641</v>
      </c>
      <c r="B107" t="s">
        <v>213</v>
      </c>
      <c r="C107" t="s">
        <v>490</v>
      </c>
      <c r="D107" s="9" t="s">
        <v>491</v>
      </c>
      <c r="E107" t="s">
        <v>49</v>
      </c>
      <c r="F107" t="s">
        <v>75</v>
      </c>
      <c r="G107" s="4">
        <v>7.25</v>
      </c>
      <c r="H107" s="4">
        <v>761</v>
      </c>
      <c r="I107" s="4">
        <v>460.9</v>
      </c>
      <c r="J107" s="4">
        <v>29.3</v>
      </c>
      <c r="K107" s="4">
        <v>44.76</v>
      </c>
      <c r="L107" s="4">
        <v>16.54</v>
      </c>
      <c r="M107" s="4">
        <v>48.7</v>
      </c>
      <c r="N107" s="4">
        <v>5.15</v>
      </c>
      <c r="O107" s="4">
        <v>183.63</v>
      </c>
      <c r="P107" s="4">
        <v>58.87</v>
      </c>
      <c r="Q107" s="4">
        <v>46.73</v>
      </c>
      <c r="R107" s="4">
        <v>23.82</v>
      </c>
      <c r="S107" s="4">
        <v>0.31</v>
      </c>
      <c r="T107" s="4">
        <v>-3.56</v>
      </c>
      <c r="U107" s="4">
        <v>-23.61</v>
      </c>
      <c r="V107" s="4">
        <v>0.246</v>
      </c>
      <c r="W107" s="4">
        <v>26.2</v>
      </c>
      <c r="X107" s="4">
        <v>-0.71</v>
      </c>
      <c r="Y107" s="4">
        <v>-0.62</v>
      </c>
      <c r="Z107" s="4">
        <v>-0.97</v>
      </c>
      <c r="AA107" s="4">
        <v>-5.25</v>
      </c>
      <c r="AB107" s="4">
        <f t="shared" si="5"/>
        <v>5.8448059640339523</v>
      </c>
      <c r="AC107" s="4">
        <f t="shared" si="6"/>
        <v>6.0434610376618512</v>
      </c>
      <c r="AD107" s="4">
        <f t="shared" si="7"/>
        <v>-1.6710179338970241</v>
      </c>
      <c r="AE107" s="4">
        <f t="shared" si="8"/>
        <v>1.58013316173875</v>
      </c>
      <c r="AF107">
        <f t="shared" si="9"/>
        <v>38.49785195177521</v>
      </c>
      <c r="AG107" t="s">
        <v>492</v>
      </c>
      <c r="AH107" t="s">
        <v>48</v>
      </c>
      <c r="AI107" t="s">
        <v>487</v>
      </c>
      <c r="AJ107" t="s">
        <v>488</v>
      </c>
    </row>
    <row r="108" spans="1:36" x14ac:dyDescent="0.3">
      <c r="A108" t="s">
        <v>642</v>
      </c>
      <c r="B108" t="s">
        <v>216</v>
      </c>
      <c r="C108" t="s">
        <v>484</v>
      </c>
      <c r="D108" s="9" t="s">
        <v>508</v>
      </c>
      <c r="E108" t="s">
        <v>49</v>
      </c>
      <c r="F108" t="s">
        <v>75</v>
      </c>
      <c r="G108" s="4">
        <v>7.23</v>
      </c>
      <c r="H108" s="4">
        <v>610.29999999999995</v>
      </c>
      <c r="I108" s="4">
        <v>350.5</v>
      </c>
      <c r="J108" s="4">
        <v>28.3</v>
      </c>
      <c r="K108" s="4">
        <v>31.14</v>
      </c>
      <c r="L108" s="4">
        <v>10.87</v>
      </c>
      <c r="M108" s="4">
        <v>40.47</v>
      </c>
      <c r="N108" s="4">
        <v>4.0999999999999996</v>
      </c>
      <c r="O108" s="4">
        <v>118.66</v>
      </c>
      <c r="P108" s="4">
        <v>45.85</v>
      </c>
      <c r="Q108" s="4">
        <v>35.39</v>
      </c>
      <c r="R108" s="4">
        <v>14.99</v>
      </c>
      <c r="S108" s="4">
        <v>0.45</v>
      </c>
      <c r="T108" s="4">
        <v>-4.3899999999999997</v>
      </c>
      <c r="U108" s="4">
        <v>-27.47</v>
      </c>
      <c r="V108" s="4">
        <v>0.20200000000000001</v>
      </c>
      <c r="W108" s="4">
        <v>39</v>
      </c>
      <c r="X108" s="4">
        <v>-0.27</v>
      </c>
      <c r="Y108" s="4">
        <v>-0.46</v>
      </c>
      <c r="Z108" s="4">
        <v>-0.81</v>
      </c>
      <c r="AA108" s="4">
        <v>-4.68</v>
      </c>
      <c r="AB108" s="4">
        <f t="shared" si="5"/>
        <v>4.3137077684043366</v>
      </c>
      <c r="AC108" s="4">
        <f t="shared" si="6"/>
        <v>4.2402702463049859</v>
      </c>
      <c r="AD108" s="4">
        <f t="shared" si="7"/>
        <v>0.85851894841287058</v>
      </c>
      <c r="AE108" s="4">
        <f t="shared" si="8"/>
        <v>1.5910497182185788</v>
      </c>
      <c r="AF108">
        <f t="shared" si="9"/>
        <v>43.240570533543718</v>
      </c>
      <c r="AG108" t="s">
        <v>492</v>
      </c>
      <c r="AH108" t="s">
        <v>48</v>
      </c>
      <c r="AI108" t="s">
        <v>487</v>
      </c>
      <c r="AJ108" t="s">
        <v>488</v>
      </c>
    </row>
    <row r="109" spans="1:36" x14ac:dyDescent="0.3">
      <c r="A109" t="s">
        <v>643</v>
      </c>
      <c r="B109" t="s">
        <v>216</v>
      </c>
      <c r="C109" t="s">
        <v>490</v>
      </c>
      <c r="D109" s="9" t="s">
        <v>553</v>
      </c>
      <c r="E109" t="s">
        <v>49</v>
      </c>
      <c r="F109" t="s">
        <v>75</v>
      </c>
      <c r="G109" s="4">
        <v>7.05</v>
      </c>
      <c r="H109" s="4">
        <v>854.2</v>
      </c>
      <c r="I109" s="4">
        <v>478.3</v>
      </c>
      <c r="J109" s="4">
        <v>29.1</v>
      </c>
      <c r="K109" s="4">
        <v>50.02</v>
      </c>
      <c r="L109" s="4">
        <v>19.59</v>
      </c>
      <c r="M109" s="4">
        <v>49.19</v>
      </c>
      <c r="N109" s="4">
        <v>6.61</v>
      </c>
      <c r="O109" s="4">
        <v>188.51</v>
      </c>
      <c r="P109" s="4">
        <v>58.74</v>
      </c>
      <c r="Q109" s="4">
        <v>53.12</v>
      </c>
      <c r="R109" s="4">
        <v>17.38</v>
      </c>
      <c r="S109" s="4">
        <v>0.25</v>
      </c>
      <c r="T109" s="4">
        <v>-2.82</v>
      </c>
      <c r="U109" s="4">
        <v>-16.89</v>
      </c>
      <c r="V109" s="4">
        <v>0.23300000000000001</v>
      </c>
      <c r="W109" s="4">
        <v>36.9</v>
      </c>
      <c r="X109" s="4">
        <v>-0.31</v>
      </c>
      <c r="Y109" s="4">
        <v>-0.67</v>
      </c>
      <c r="Z109" s="4">
        <v>-1.08</v>
      </c>
      <c r="AA109" s="4">
        <v>-5.03</v>
      </c>
      <c r="AB109" s="4">
        <f t="shared" si="5"/>
        <v>6.4169278826074976</v>
      </c>
      <c r="AC109" s="4">
        <f t="shared" si="6"/>
        <v>6.145794095484173</v>
      </c>
      <c r="AD109" s="4">
        <f t="shared" si="7"/>
        <v>2.1582407665803567</v>
      </c>
      <c r="AE109" s="4">
        <f t="shared" si="8"/>
        <v>1.4929620803612818</v>
      </c>
      <c r="AF109">
        <f t="shared" si="9"/>
        <v>35.979543395369554</v>
      </c>
      <c r="AG109" t="s">
        <v>497</v>
      </c>
      <c r="AH109" t="s">
        <v>48</v>
      </c>
      <c r="AI109" t="s">
        <v>487</v>
      </c>
      <c r="AJ109" t="s">
        <v>488</v>
      </c>
    </row>
    <row r="110" spans="1:36" x14ac:dyDescent="0.3">
      <c r="A110" t="s">
        <v>644</v>
      </c>
      <c r="B110" t="s">
        <v>218</v>
      </c>
      <c r="C110" t="s">
        <v>484</v>
      </c>
      <c r="D110" s="9" t="s">
        <v>524</v>
      </c>
      <c r="E110" t="s">
        <v>49</v>
      </c>
      <c r="F110" t="s">
        <v>75</v>
      </c>
      <c r="G110" s="4">
        <v>7.37</v>
      </c>
      <c r="H110" s="4">
        <v>639.20000000000005</v>
      </c>
      <c r="I110" s="4">
        <v>387.5</v>
      </c>
      <c r="J110" s="4">
        <v>30.1</v>
      </c>
      <c r="K110" s="4">
        <v>31.34</v>
      </c>
      <c r="L110" s="4">
        <v>8.66</v>
      </c>
      <c r="M110" s="4">
        <v>49.9</v>
      </c>
      <c r="N110" s="4">
        <v>2.84</v>
      </c>
      <c r="O110" s="4">
        <v>131</v>
      </c>
      <c r="P110" s="4">
        <v>44.49</v>
      </c>
      <c r="Q110" s="4">
        <v>43.2</v>
      </c>
      <c r="R110" s="4">
        <v>17.420000000000002</v>
      </c>
      <c r="S110" s="4">
        <v>0.54</v>
      </c>
      <c r="T110" s="4">
        <v>-4.3</v>
      </c>
      <c r="U110" s="4">
        <v>-26.08</v>
      </c>
      <c r="V110" s="4">
        <v>0.32900000000000001</v>
      </c>
      <c r="W110" s="4">
        <v>57.9</v>
      </c>
      <c r="X110" s="4">
        <v>-0.57999999999999996</v>
      </c>
      <c r="Y110" s="4">
        <v>-0.99</v>
      </c>
      <c r="Z110" s="4">
        <v>-1.1399999999999999</v>
      </c>
      <c r="AA110" s="4">
        <v>-4.91</v>
      </c>
      <c r="AB110" s="4">
        <f t="shared" si="5"/>
        <v>4.5198021895031211</v>
      </c>
      <c r="AC110" s="4">
        <f t="shared" si="6"/>
        <v>4.6106861306845754</v>
      </c>
      <c r="AD110" s="4">
        <f t="shared" si="7"/>
        <v>-0.99538970966654783</v>
      </c>
      <c r="AE110" s="4">
        <f t="shared" si="8"/>
        <v>2.0344912655117247</v>
      </c>
      <c r="AF110">
        <f t="shared" si="9"/>
        <v>49.631404751205466</v>
      </c>
      <c r="AG110" t="s">
        <v>521</v>
      </c>
      <c r="AH110" t="s">
        <v>500</v>
      </c>
      <c r="AI110" t="s">
        <v>487</v>
      </c>
      <c r="AJ110" t="s">
        <v>488</v>
      </c>
    </row>
    <row r="111" spans="1:36" x14ac:dyDescent="0.3">
      <c r="A111" t="s">
        <v>645</v>
      </c>
      <c r="B111" t="s">
        <v>218</v>
      </c>
      <c r="C111" t="s">
        <v>490</v>
      </c>
      <c r="D111" s="9" t="s">
        <v>541</v>
      </c>
      <c r="E111" t="s">
        <v>49</v>
      </c>
      <c r="F111" t="s">
        <v>75</v>
      </c>
      <c r="G111" s="4">
        <v>7.01</v>
      </c>
      <c r="H111" s="4">
        <v>829.2</v>
      </c>
      <c r="I111" s="4">
        <v>591</v>
      </c>
      <c r="J111" s="4">
        <v>30.2</v>
      </c>
      <c r="K111" s="4">
        <v>54.72</v>
      </c>
      <c r="L111" s="4">
        <v>18.05</v>
      </c>
      <c r="M111" s="4">
        <v>68.38</v>
      </c>
      <c r="N111" s="4">
        <v>7.44</v>
      </c>
      <c r="O111" s="4">
        <v>184.16</v>
      </c>
      <c r="P111" s="4">
        <v>76.84</v>
      </c>
      <c r="Q111" s="4">
        <v>76.17</v>
      </c>
      <c r="R111" s="4">
        <v>31.42</v>
      </c>
      <c r="S111" s="4">
        <v>0.27</v>
      </c>
      <c r="T111" s="4">
        <v>-2.91</v>
      </c>
      <c r="U111" s="4">
        <v>-20.56</v>
      </c>
      <c r="V111" s="4">
        <v>0.27800000000000002</v>
      </c>
      <c r="W111" s="4">
        <v>48.7</v>
      </c>
      <c r="X111" s="4">
        <v>-0.12</v>
      </c>
      <c r="Y111" s="4">
        <v>-0.32</v>
      </c>
      <c r="Z111" s="4">
        <v>-0.43</v>
      </c>
      <c r="AA111" s="4">
        <v>-5.45</v>
      </c>
      <c r="AB111" s="4">
        <f t="shared" si="5"/>
        <v>7.3807233882216652</v>
      </c>
      <c r="AC111" s="4">
        <f t="shared" si="6"/>
        <v>7.2924312447429847</v>
      </c>
      <c r="AD111" s="4">
        <f t="shared" si="7"/>
        <v>0.60172570716540907</v>
      </c>
      <c r="AE111" s="4">
        <f t="shared" si="8"/>
        <v>2.0486862371505801</v>
      </c>
      <c r="AF111">
        <f t="shared" si="9"/>
        <v>42.878684730440511</v>
      </c>
      <c r="AG111" t="s">
        <v>492</v>
      </c>
      <c r="AH111" t="s">
        <v>48</v>
      </c>
      <c r="AI111" t="s">
        <v>487</v>
      </c>
      <c r="AJ111" t="s">
        <v>488</v>
      </c>
    </row>
    <row r="112" spans="1:36" x14ac:dyDescent="0.3">
      <c r="A112" t="s">
        <v>646</v>
      </c>
      <c r="B112" t="s">
        <v>220</v>
      </c>
      <c r="C112" t="s">
        <v>484</v>
      </c>
      <c r="D112" s="9" t="s">
        <v>520</v>
      </c>
      <c r="E112" t="s">
        <v>49</v>
      </c>
      <c r="F112" t="s">
        <v>75</v>
      </c>
      <c r="G112" s="4">
        <v>6.83</v>
      </c>
      <c r="H112" s="4">
        <v>571.20000000000005</v>
      </c>
      <c r="I112" s="4">
        <v>349.5</v>
      </c>
      <c r="J112" s="4">
        <v>28.2</v>
      </c>
      <c r="K112" s="4">
        <v>31.06</v>
      </c>
      <c r="L112" s="4">
        <v>12.37</v>
      </c>
      <c r="M112" s="4">
        <v>34.17</v>
      </c>
      <c r="N112" s="4">
        <v>3.49</v>
      </c>
      <c r="O112" s="4">
        <v>122.04</v>
      </c>
      <c r="P112" s="4">
        <v>40.22</v>
      </c>
      <c r="Q112" s="4">
        <v>42.58</v>
      </c>
      <c r="R112" s="4">
        <v>18.02</v>
      </c>
      <c r="S112" s="4">
        <v>0.38</v>
      </c>
      <c r="T112" s="4">
        <v>-4.1399999999999997</v>
      </c>
      <c r="U112" s="4">
        <v>-22.73</v>
      </c>
      <c r="V112" s="4">
        <v>0.20100000000000001</v>
      </c>
      <c r="W112" s="4">
        <v>54.2</v>
      </c>
      <c r="X112" s="4">
        <v>-0.04</v>
      </c>
      <c r="Y112" s="4">
        <v>-0.28999999999999998</v>
      </c>
      <c r="Z112" s="4">
        <v>-0.98</v>
      </c>
      <c r="AA112" s="4">
        <v>-4.45</v>
      </c>
      <c r="AB112" s="4">
        <f t="shared" si="5"/>
        <v>4.1435010168247937</v>
      </c>
      <c r="AC112" s="4">
        <f t="shared" si="6"/>
        <v>4.3317443711661179</v>
      </c>
      <c r="AD112" s="4">
        <f t="shared" si="7"/>
        <v>-2.2210962128371836</v>
      </c>
      <c r="AE112" s="4">
        <f t="shared" si="8"/>
        <v>1.311755665736223</v>
      </c>
      <c r="AF112">
        <f t="shared" si="9"/>
        <v>38.026439831757465</v>
      </c>
      <c r="AG112" t="s">
        <v>492</v>
      </c>
      <c r="AH112" t="s">
        <v>48</v>
      </c>
      <c r="AI112" t="s">
        <v>487</v>
      </c>
      <c r="AJ112" t="s">
        <v>488</v>
      </c>
    </row>
    <row r="113" spans="1:36" x14ac:dyDescent="0.3">
      <c r="A113" t="s">
        <v>647</v>
      </c>
      <c r="B113" t="s">
        <v>220</v>
      </c>
      <c r="C113" t="s">
        <v>490</v>
      </c>
      <c r="D113" s="9" t="s">
        <v>588</v>
      </c>
      <c r="E113" t="s">
        <v>49</v>
      </c>
      <c r="F113" t="s">
        <v>75</v>
      </c>
      <c r="G113" s="4">
        <v>7.25</v>
      </c>
      <c r="H113" s="4">
        <v>668.9</v>
      </c>
      <c r="I113" s="4">
        <v>460.9</v>
      </c>
      <c r="J113" s="4">
        <v>28.5</v>
      </c>
      <c r="K113" s="4">
        <v>58.22</v>
      </c>
      <c r="L113" s="4">
        <v>12.24</v>
      </c>
      <c r="M113" s="4">
        <v>37.159999999999997</v>
      </c>
      <c r="N113" s="4">
        <v>6</v>
      </c>
      <c r="O113" s="4">
        <v>174.92</v>
      </c>
      <c r="P113" s="4">
        <v>66.069999999999993</v>
      </c>
      <c r="Q113" s="4">
        <v>51.04</v>
      </c>
      <c r="R113" s="4">
        <v>17.88</v>
      </c>
      <c r="S113" s="4">
        <v>0.57999999999999996</v>
      </c>
      <c r="T113" s="4">
        <v>-2.75</v>
      </c>
      <c r="U113" s="4">
        <v>-19.37</v>
      </c>
      <c r="V113" s="4">
        <v>0.19500000000000001</v>
      </c>
      <c r="W113" s="4">
        <v>36.4</v>
      </c>
      <c r="X113" s="4">
        <v>-0.26</v>
      </c>
      <c r="Y113" s="4">
        <v>-0.41</v>
      </c>
      <c r="Z113" s="4">
        <v>-0.81</v>
      </c>
      <c r="AA113" s="4">
        <v>-3.74</v>
      </c>
      <c r="AB113" s="4">
        <f t="shared" si="5"/>
        <v>5.6824205440329214</v>
      </c>
      <c r="AC113" s="4">
        <f t="shared" si="6"/>
        <v>6.1119460942615822</v>
      </c>
      <c r="AD113" s="4">
        <f t="shared" si="7"/>
        <v>-3.64178563717069</v>
      </c>
      <c r="AE113" s="4">
        <f t="shared" si="8"/>
        <v>1.1556904334027795</v>
      </c>
      <c r="AF113">
        <f t="shared" si="9"/>
        <v>31.146687722390979</v>
      </c>
      <c r="AG113" t="s">
        <v>486</v>
      </c>
      <c r="AH113" t="s">
        <v>48</v>
      </c>
      <c r="AI113" t="s">
        <v>487</v>
      </c>
      <c r="AJ113" t="s">
        <v>488</v>
      </c>
    </row>
    <row r="114" spans="1:36" x14ac:dyDescent="0.3">
      <c r="A114" t="s">
        <v>648</v>
      </c>
      <c r="B114" t="s">
        <v>222</v>
      </c>
      <c r="C114" t="s">
        <v>484</v>
      </c>
      <c r="D114" s="9" t="s">
        <v>649</v>
      </c>
      <c r="E114" t="s">
        <v>49</v>
      </c>
      <c r="F114" t="s">
        <v>75</v>
      </c>
      <c r="G114" s="4">
        <v>7.29</v>
      </c>
      <c r="H114" s="4">
        <v>616</v>
      </c>
      <c r="I114" s="4">
        <v>380.9</v>
      </c>
      <c r="J114" s="4">
        <v>28.1</v>
      </c>
      <c r="K114" s="4">
        <v>39.57</v>
      </c>
      <c r="L114" s="4">
        <v>13.31</v>
      </c>
      <c r="M114" s="4">
        <v>28.01</v>
      </c>
      <c r="N114" s="4">
        <v>4.57</v>
      </c>
      <c r="O114" s="4">
        <v>136.03</v>
      </c>
      <c r="P114" s="4">
        <v>43.26</v>
      </c>
      <c r="Q114" s="4">
        <v>41.9</v>
      </c>
      <c r="R114" s="4">
        <v>12.69</v>
      </c>
      <c r="S114" s="4">
        <v>0.37</v>
      </c>
      <c r="T114" s="4">
        <v>-3.83</v>
      </c>
      <c r="U114" s="4">
        <v>-25.36</v>
      </c>
      <c r="V114" s="4">
        <v>0.29799999999999999</v>
      </c>
      <c r="W114" s="4">
        <v>60.6</v>
      </c>
      <c r="X114" s="4">
        <v>-0.39</v>
      </c>
      <c r="Y114" s="4">
        <v>-0.59</v>
      </c>
      <c r="Z114" s="4">
        <v>-1.1299999999999999</v>
      </c>
      <c r="AA114" s="4">
        <v>-4.49</v>
      </c>
      <c r="AB114" s="4">
        <f t="shared" si="5"/>
        <v>4.4051919034039546</v>
      </c>
      <c r="AC114" s="4">
        <f t="shared" si="6"/>
        <v>4.5461306833361759</v>
      </c>
      <c r="AD114" s="4">
        <f t="shared" si="7"/>
        <v>-1.5745022991462538</v>
      </c>
      <c r="AE114" s="4">
        <f t="shared" si="8"/>
        <v>0.98343599771607071</v>
      </c>
      <c r="AF114">
        <f t="shared" si="9"/>
        <v>30.311836753066487</v>
      </c>
      <c r="AG114" t="s">
        <v>486</v>
      </c>
      <c r="AH114" t="s">
        <v>48</v>
      </c>
      <c r="AI114" t="s">
        <v>487</v>
      </c>
      <c r="AJ114" t="s">
        <v>488</v>
      </c>
    </row>
    <row r="115" spans="1:36" x14ac:dyDescent="0.3">
      <c r="A115" t="s">
        <v>650</v>
      </c>
      <c r="B115" t="s">
        <v>222</v>
      </c>
      <c r="C115" t="s">
        <v>490</v>
      </c>
      <c r="D115" s="9" t="s">
        <v>611</v>
      </c>
      <c r="E115" t="s">
        <v>49</v>
      </c>
      <c r="F115" t="s">
        <v>75</v>
      </c>
      <c r="G115" s="4">
        <v>6.87</v>
      </c>
      <c r="H115" s="4">
        <v>759.5</v>
      </c>
      <c r="I115" s="4">
        <v>501.8</v>
      </c>
      <c r="J115" s="4">
        <v>29.8</v>
      </c>
      <c r="K115" s="4">
        <v>39.200000000000003</v>
      </c>
      <c r="L115" s="4">
        <v>13.51</v>
      </c>
      <c r="M115" s="4">
        <v>60.29</v>
      </c>
      <c r="N115" s="4">
        <v>5.54</v>
      </c>
      <c r="O115" s="4">
        <v>175.48</v>
      </c>
      <c r="P115" s="4">
        <v>61</v>
      </c>
      <c r="Q115" s="4">
        <v>54.43</v>
      </c>
      <c r="R115" s="4">
        <v>14.07</v>
      </c>
      <c r="S115" s="4">
        <v>0.55000000000000004</v>
      </c>
      <c r="T115" s="4">
        <v>-2.69</v>
      </c>
      <c r="U115" s="4">
        <v>-16.29</v>
      </c>
      <c r="V115" s="4">
        <v>0.217</v>
      </c>
      <c r="W115" s="4">
        <v>50.3</v>
      </c>
      <c r="X115" s="4">
        <v>0.02</v>
      </c>
      <c r="Y115" s="4">
        <v>-0.1</v>
      </c>
      <c r="Z115" s="4">
        <v>-0.82</v>
      </c>
      <c r="AA115" s="4">
        <v>-4.8499999999999996</v>
      </c>
      <c r="AB115" s="4">
        <f t="shared" si="5"/>
        <v>5.8321446911716466</v>
      </c>
      <c r="AC115" s="4">
        <f t="shared" si="6"/>
        <v>5.9856727979294142</v>
      </c>
      <c r="AD115" s="4">
        <f t="shared" si="7"/>
        <v>-1.2991240294526327</v>
      </c>
      <c r="AE115" s="4">
        <f t="shared" si="8"/>
        <v>2.1174845461203211</v>
      </c>
      <c r="AF115">
        <f t="shared" si="9"/>
        <v>47.396866654414453</v>
      </c>
      <c r="AG115" t="s">
        <v>521</v>
      </c>
      <c r="AH115" t="s">
        <v>500</v>
      </c>
      <c r="AI115" t="s">
        <v>487</v>
      </c>
      <c r="AJ115" t="s">
        <v>488</v>
      </c>
    </row>
    <row r="116" spans="1:36" x14ac:dyDescent="0.3">
      <c r="A116" t="s">
        <v>651</v>
      </c>
      <c r="B116" t="s">
        <v>224</v>
      </c>
      <c r="C116" t="s">
        <v>484</v>
      </c>
      <c r="D116" s="9" t="s">
        <v>586</v>
      </c>
      <c r="E116" t="s">
        <v>49</v>
      </c>
      <c r="F116" t="s">
        <v>101</v>
      </c>
      <c r="G116" s="4">
        <v>6.75</v>
      </c>
      <c r="H116" s="4">
        <v>552.79999999999995</v>
      </c>
      <c r="I116" s="4">
        <v>349.8</v>
      </c>
      <c r="J116" s="4">
        <v>29.2</v>
      </c>
      <c r="K116" s="4">
        <v>30.74</v>
      </c>
      <c r="L116" s="4">
        <v>11.5</v>
      </c>
      <c r="M116" s="4">
        <v>30.91</v>
      </c>
      <c r="N116" s="4">
        <v>4.0599999999999996</v>
      </c>
      <c r="O116" s="4">
        <v>99.05</v>
      </c>
      <c r="P116" s="4">
        <v>39.340000000000003</v>
      </c>
      <c r="Q116" s="4">
        <v>31.17</v>
      </c>
      <c r="R116" s="4">
        <v>31.31</v>
      </c>
      <c r="S116" s="4">
        <v>0.61</v>
      </c>
      <c r="T116" s="4">
        <v>-3.85</v>
      </c>
      <c r="U116" s="4">
        <v>-22.56</v>
      </c>
      <c r="V116" s="4">
        <v>0.128</v>
      </c>
      <c r="W116" s="4">
        <v>63.7</v>
      </c>
      <c r="X116" s="4">
        <v>0.01</v>
      </c>
      <c r="Y116" s="4">
        <v>0.06</v>
      </c>
      <c r="Z116" s="4">
        <v>-1.2</v>
      </c>
      <c r="AA116" s="4">
        <v>-5.53</v>
      </c>
      <c r="AB116" s="4">
        <f t="shared" si="5"/>
        <v>3.9287137480077172</v>
      </c>
      <c r="AC116" s="4">
        <f t="shared" si="6"/>
        <v>3.919020937911029</v>
      </c>
      <c r="AD116" s="4">
        <f t="shared" si="7"/>
        <v>0.12351093002774541</v>
      </c>
      <c r="AE116" s="4">
        <f t="shared" si="8"/>
        <v>1.207370089679374</v>
      </c>
      <c r="AF116">
        <f t="shared" si="9"/>
        <v>36.866970048564305</v>
      </c>
      <c r="AG116" t="s">
        <v>497</v>
      </c>
      <c r="AH116" t="s">
        <v>48</v>
      </c>
      <c r="AI116" t="s">
        <v>487</v>
      </c>
      <c r="AJ116" t="s">
        <v>488</v>
      </c>
    </row>
    <row r="117" spans="1:36" x14ac:dyDescent="0.3">
      <c r="A117" t="s">
        <v>652</v>
      </c>
      <c r="B117" t="s">
        <v>224</v>
      </c>
      <c r="C117" t="s">
        <v>490</v>
      </c>
      <c r="D117" s="9" t="s">
        <v>546</v>
      </c>
      <c r="E117" t="s">
        <v>49</v>
      </c>
      <c r="F117" t="s">
        <v>101</v>
      </c>
      <c r="G117" s="4">
        <v>7.61</v>
      </c>
      <c r="H117" s="4">
        <v>977.3</v>
      </c>
      <c r="I117" s="4">
        <v>546.9</v>
      </c>
      <c r="J117" s="4">
        <v>29.8</v>
      </c>
      <c r="K117" s="4">
        <v>53.98</v>
      </c>
      <c r="L117" s="4">
        <v>14.01</v>
      </c>
      <c r="M117" s="4">
        <v>62.77</v>
      </c>
      <c r="N117" s="4">
        <v>7.39</v>
      </c>
      <c r="O117" s="4">
        <v>174.72</v>
      </c>
      <c r="P117" s="4">
        <v>74.430000000000007</v>
      </c>
      <c r="Q117" s="4">
        <v>44.85</v>
      </c>
      <c r="R117" s="4">
        <v>38.15</v>
      </c>
      <c r="S117" s="4">
        <v>0.77</v>
      </c>
      <c r="T117" s="4">
        <v>-3.08</v>
      </c>
      <c r="U117" s="4">
        <v>-18.829999999999998</v>
      </c>
      <c r="V117" s="4">
        <v>0.184</v>
      </c>
      <c r="W117" s="4">
        <v>66.8</v>
      </c>
      <c r="X117" s="4">
        <v>-0.43</v>
      </c>
      <c r="Y117" s="4">
        <v>-0.61</v>
      </c>
      <c r="Z117" s="4">
        <v>-0.9</v>
      </c>
      <c r="AA117" s="4">
        <v>-4.8899999999999997</v>
      </c>
      <c r="AB117" s="4">
        <f t="shared" si="5"/>
        <v>6.7660449222645367</v>
      </c>
      <c r="AC117" s="4">
        <f t="shared" si="6"/>
        <v>6.552506331464131</v>
      </c>
      <c r="AD117" s="4">
        <f t="shared" si="7"/>
        <v>1.6033169579208051</v>
      </c>
      <c r="AE117" s="4">
        <f t="shared" si="8"/>
        <v>1.9688323457999899</v>
      </c>
      <c r="AF117">
        <f t="shared" si="9"/>
        <v>43.148524061702851</v>
      </c>
      <c r="AG117" t="s">
        <v>492</v>
      </c>
      <c r="AH117" t="s">
        <v>48</v>
      </c>
      <c r="AI117" t="s">
        <v>487</v>
      </c>
      <c r="AJ117" t="s">
        <v>488</v>
      </c>
    </row>
    <row r="118" spans="1:36" x14ac:dyDescent="0.3">
      <c r="A118" t="s">
        <v>653</v>
      </c>
      <c r="B118" t="s">
        <v>226</v>
      </c>
      <c r="C118" t="s">
        <v>484</v>
      </c>
      <c r="D118" s="9" t="s">
        <v>512</v>
      </c>
      <c r="E118" t="s">
        <v>49</v>
      </c>
      <c r="F118" t="s">
        <v>75</v>
      </c>
      <c r="G118" s="4">
        <v>7.27</v>
      </c>
      <c r="H118" s="4">
        <v>714.1</v>
      </c>
      <c r="I118" s="4">
        <v>501.1</v>
      </c>
      <c r="J118" s="4">
        <v>27.8</v>
      </c>
      <c r="K118" s="4">
        <v>36.65</v>
      </c>
      <c r="L118" s="4">
        <v>16.55</v>
      </c>
      <c r="M118" s="4">
        <v>38.159999999999997</v>
      </c>
      <c r="N118" s="4">
        <v>4.29</v>
      </c>
      <c r="O118" s="4">
        <v>148.74</v>
      </c>
      <c r="P118" s="4">
        <v>37.32</v>
      </c>
      <c r="Q118" s="4">
        <v>44.27</v>
      </c>
      <c r="R118" s="4">
        <v>114.03</v>
      </c>
      <c r="S118" s="4">
        <v>0.35</v>
      </c>
      <c r="T118" s="4">
        <v>-3.47</v>
      </c>
      <c r="U118" s="4">
        <v>-23.53</v>
      </c>
      <c r="V118" s="4">
        <v>0.185</v>
      </c>
      <c r="W118" s="4">
        <v>53.5</v>
      </c>
      <c r="X118" s="4">
        <v>-0.35</v>
      </c>
      <c r="Y118" s="4">
        <v>-0.28000000000000003</v>
      </c>
      <c r="Z118" s="4">
        <v>-1.01</v>
      </c>
      <c r="AA118" s="4">
        <v>-4.71</v>
      </c>
      <c r="AB118" s="4">
        <f t="shared" si="5"/>
        <v>4.9604418733695121</v>
      </c>
      <c r="AC118" s="4">
        <f t="shared" si="6"/>
        <v>6.2695693138608064</v>
      </c>
      <c r="AD118" s="4">
        <f t="shared" si="7"/>
        <v>-11.657401036072942</v>
      </c>
      <c r="AE118" s="4">
        <f t="shared" si="8"/>
        <v>1.3141772636866831</v>
      </c>
      <c r="AF118">
        <f t="shared" si="9"/>
        <v>35.675220864894797</v>
      </c>
      <c r="AG118" t="s">
        <v>497</v>
      </c>
      <c r="AH118" t="s">
        <v>506</v>
      </c>
      <c r="AI118" t="s">
        <v>516</v>
      </c>
      <c r="AJ118" t="s">
        <v>517</v>
      </c>
    </row>
    <row r="119" spans="1:36" x14ac:dyDescent="0.3">
      <c r="A119" t="s">
        <v>654</v>
      </c>
      <c r="B119" t="s">
        <v>226</v>
      </c>
      <c r="C119" t="s">
        <v>490</v>
      </c>
      <c r="D119" s="9" t="s">
        <v>655</v>
      </c>
      <c r="E119" t="s">
        <v>49</v>
      </c>
      <c r="F119" t="s">
        <v>75</v>
      </c>
      <c r="G119" s="4">
        <v>7.17</v>
      </c>
      <c r="H119" s="4">
        <v>873.2</v>
      </c>
      <c r="I119" s="4">
        <v>482.7</v>
      </c>
      <c r="J119" s="4">
        <v>30.7</v>
      </c>
      <c r="K119" s="4">
        <v>51.28</v>
      </c>
      <c r="L119" s="4">
        <v>13.1</v>
      </c>
      <c r="M119" s="4">
        <v>43.26</v>
      </c>
      <c r="N119" s="4">
        <v>6.33</v>
      </c>
      <c r="O119" s="4">
        <v>163.58000000000001</v>
      </c>
      <c r="P119" s="4">
        <v>52.43</v>
      </c>
      <c r="Q119" s="4">
        <v>44.48</v>
      </c>
      <c r="R119" s="4">
        <v>48.61</v>
      </c>
      <c r="S119" s="4">
        <v>0.61</v>
      </c>
      <c r="T119" s="4">
        <v>-3.43</v>
      </c>
      <c r="U119" s="4">
        <v>-22.32</v>
      </c>
      <c r="V119" s="4">
        <v>0.184</v>
      </c>
      <c r="W119" s="4">
        <v>47.1</v>
      </c>
      <c r="X119" s="4">
        <v>-0.04</v>
      </c>
      <c r="Y119" s="4">
        <v>-0.12</v>
      </c>
      <c r="Z119" s="4">
        <v>-0.95</v>
      </c>
      <c r="AA119" s="4">
        <v>-4.88</v>
      </c>
      <c r="AB119" s="4">
        <f t="shared" si="5"/>
        <v>5.6806478334843735</v>
      </c>
      <c r="AC119" s="4">
        <f t="shared" si="6"/>
        <v>5.9019622866793657</v>
      </c>
      <c r="AD119" s="4">
        <f t="shared" si="7"/>
        <v>-1.910747671716188</v>
      </c>
      <c r="AE119" s="4">
        <f t="shared" si="8"/>
        <v>1.3954398781328339</v>
      </c>
      <c r="AF119">
        <f t="shared" si="9"/>
        <v>35.976009538962337</v>
      </c>
      <c r="AG119" t="s">
        <v>486</v>
      </c>
      <c r="AH119" t="s">
        <v>48</v>
      </c>
      <c r="AI119" t="s">
        <v>487</v>
      </c>
      <c r="AJ119" t="s">
        <v>488</v>
      </c>
    </row>
    <row r="120" spans="1:36" x14ac:dyDescent="0.3">
      <c r="A120" t="s">
        <v>656</v>
      </c>
      <c r="B120" t="s">
        <v>228</v>
      </c>
      <c r="C120" t="s">
        <v>484</v>
      </c>
      <c r="D120" s="9" t="s">
        <v>512</v>
      </c>
      <c r="E120" t="s">
        <v>49</v>
      </c>
      <c r="F120" t="s">
        <v>75</v>
      </c>
      <c r="G120" s="4">
        <v>7.47</v>
      </c>
      <c r="H120" s="4">
        <v>659.7</v>
      </c>
      <c r="I120" s="4">
        <v>370.2</v>
      </c>
      <c r="J120" s="4">
        <v>29.6</v>
      </c>
      <c r="K120" s="4">
        <v>33.78</v>
      </c>
      <c r="L120" s="4">
        <v>12.09</v>
      </c>
      <c r="M120" s="4">
        <v>24.57</v>
      </c>
      <c r="N120" s="4">
        <v>4.54</v>
      </c>
      <c r="O120" s="4">
        <v>103.87</v>
      </c>
      <c r="P120" s="4">
        <v>28.87</v>
      </c>
      <c r="Q120" s="4">
        <v>32.82</v>
      </c>
      <c r="R120" s="4">
        <v>81.41</v>
      </c>
      <c r="S120" s="4">
        <v>0.5</v>
      </c>
      <c r="T120" s="4">
        <v>-4.07</v>
      </c>
      <c r="U120" s="4">
        <v>-28.99</v>
      </c>
      <c r="V120" s="4">
        <v>0.255</v>
      </c>
      <c r="W120" s="4">
        <v>50.3</v>
      </c>
      <c r="X120" s="4">
        <v>-0.26</v>
      </c>
      <c r="Y120" s="4">
        <v>-0.5</v>
      </c>
      <c r="Z120" s="4">
        <v>-1.0900000000000001</v>
      </c>
      <c r="AA120" s="4">
        <v>-4.58</v>
      </c>
      <c r="AB120" s="4">
        <f t="shared" si="5"/>
        <v>3.8654603781611963</v>
      </c>
      <c r="AC120" s="4">
        <f t="shared" si="6"/>
        <v>4.5392601498118594</v>
      </c>
      <c r="AD120" s="4">
        <f t="shared" si="7"/>
        <v>-8.0169206032263141</v>
      </c>
      <c r="AE120" s="4">
        <f t="shared" si="8"/>
        <v>0.92318025439939522</v>
      </c>
      <c r="AF120">
        <f t="shared" si="9"/>
        <v>30.653282585146155</v>
      </c>
      <c r="AG120" t="s">
        <v>486</v>
      </c>
      <c r="AH120" t="s">
        <v>506</v>
      </c>
      <c r="AI120" t="s">
        <v>542</v>
      </c>
      <c r="AJ120" t="s">
        <v>543</v>
      </c>
    </row>
    <row r="121" spans="1:36" x14ac:dyDescent="0.3">
      <c r="A121" t="s">
        <v>657</v>
      </c>
      <c r="B121" t="s">
        <v>228</v>
      </c>
      <c r="C121" t="s">
        <v>490</v>
      </c>
      <c r="D121" s="9" t="s">
        <v>658</v>
      </c>
      <c r="E121" t="s">
        <v>49</v>
      </c>
      <c r="F121" t="s">
        <v>75</v>
      </c>
      <c r="G121" s="4">
        <v>7.03</v>
      </c>
      <c r="H121" s="4">
        <v>828.8</v>
      </c>
      <c r="I121" s="4">
        <v>594.4</v>
      </c>
      <c r="J121" s="4">
        <v>29.5</v>
      </c>
      <c r="K121" s="4">
        <v>56.81</v>
      </c>
      <c r="L121" s="4">
        <v>19.829999999999998</v>
      </c>
      <c r="M121" s="4">
        <v>57.18</v>
      </c>
      <c r="N121" s="4">
        <v>5.81</v>
      </c>
      <c r="O121" s="4">
        <v>180.76</v>
      </c>
      <c r="P121" s="4">
        <v>74.91</v>
      </c>
      <c r="Q121" s="4">
        <v>60.01</v>
      </c>
      <c r="R121" s="4">
        <v>65.44</v>
      </c>
      <c r="S121" s="4">
        <v>0.15</v>
      </c>
      <c r="T121" s="4">
        <v>-3.65</v>
      </c>
      <c r="U121" s="4">
        <v>-20.58</v>
      </c>
      <c r="V121" s="4">
        <v>0.224</v>
      </c>
      <c r="W121" s="4">
        <v>56.8</v>
      </c>
      <c r="X121" s="4">
        <v>-0.31</v>
      </c>
      <c r="Y121" s="4">
        <v>-0.79</v>
      </c>
      <c r="Z121" s="4">
        <v>-0.49</v>
      </c>
      <c r="AA121" s="4">
        <v>-4.9800000000000004</v>
      </c>
      <c r="AB121" s="4">
        <f t="shared" si="5"/>
        <v>7.1026122917163326</v>
      </c>
      <c r="AC121" s="4">
        <f t="shared" si="6"/>
        <v>7.3881633646206675</v>
      </c>
      <c r="AD121" s="4">
        <f t="shared" si="7"/>
        <v>-1.9705713460511673</v>
      </c>
      <c r="AE121" s="4">
        <f t="shared" si="8"/>
        <v>1.6643474067382642</v>
      </c>
      <c r="AF121">
        <f t="shared" si="9"/>
        <v>37.111380528038175</v>
      </c>
      <c r="AG121" t="s">
        <v>497</v>
      </c>
      <c r="AH121" t="s">
        <v>506</v>
      </c>
      <c r="AI121" t="s">
        <v>487</v>
      </c>
      <c r="AJ121" t="s">
        <v>488</v>
      </c>
    </row>
    <row r="122" spans="1:36" x14ac:dyDescent="0.3">
      <c r="A122" t="s">
        <v>659</v>
      </c>
      <c r="B122" t="s">
        <v>230</v>
      </c>
      <c r="C122" t="s">
        <v>484</v>
      </c>
      <c r="D122" s="9" t="s">
        <v>649</v>
      </c>
      <c r="E122" t="s">
        <v>49</v>
      </c>
      <c r="F122" t="s">
        <v>75</v>
      </c>
      <c r="G122" s="4">
        <v>7.28</v>
      </c>
      <c r="H122" s="4">
        <v>684.6</v>
      </c>
      <c r="I122" s="4">
        <v>401.7</v>
      </c>
      <c r="J122" s="4">
        <v>28.9</v>
      </c>
      <c r="K122" s="4">
        <v>29</v>
      </c>
      <c r="L122" s="4">
        <v>11.38</v>
      </c>
      <c r="M122" s="4">
        <v>38.799999999999997</v>
      </c>
      <c r="N122" s="4">
        <v>3.37</v>
      </c>
      <c r="O122" s="4">
        <v>128.22</v>
      </c>
      <c r="P122" s="4">
        <v>44.42</v>
      </c>
      <c r="Q122" s="4">
        <v>39.25</v>
      </c>
      <c r="R122" s="4">
        <v>43.34</v>
      </c>
      <c r="S122" s="4">
        <v>0.46</v>
      </c>
      <c r="T122" s="4">
        <v>-4.83</v>
      </c>
      <c r="U122" s="4">
        <v>-29.66</v>
      </c>
      <c r="V122" s="4">
        <v>0.22</v>
      </c>
      <c r="W122" s="4">
        <v>58.9</v>
      </c>
      <c r="X122" s="4">
        <v>0.01</v>
      </c>
      <c r="Y122" s="4">
        <v>-0.24</v>
      </c>
      <c r="Z122" s="4">
        <v>-0.7</v>
      </c>
      <c r="AA122" s="4">
        <v>-5.25</v>
      </c>
      <c r="AB122" s="4">
        <f t="shared" si="5"/>
        <v>4.1575682159202403</v>
      </c>
      <c r="AC122" s="4">
        <f t="shared" si="6"/>
        <v>4.8947301078756551</v>
      </c>
      <c r="AD122" s="4">
        <f t="shared" si="7"/>
        <v>-8.1433671934742549</v>
      </c>
      <c r="AE122" s="4">
        <f t="shared" si="8"/>
        <v>1.5459981420021349</v>
      </c>
      <c r="AF122">
        <f t="shared" si="9"/>
        <v>42.668148498022234</v>
      </c>
      <c r="AG122" t="s">
        <v>492</v>
      </c>
      <c r="AH122" t="s">
        <v>48</v>
      </c>
      <c r="AI122" t="s">
        <v>542</v>
      </c>
      <c r="AJ122" t="s">
        <v>543</v>
      </c>
    </row>
    <row r="123" spans="1:36" x14ac:dyDescent="0.3">
      <c r="A123" t="s">
        <v>660</v>
      </c>
      <c r="B123" t="s">
        <v>230</v>
      </c>
      <c r="C123" t="s">
        <v>490</v>
      </c>
      <c r="D123" s="9" t="s">
        <v>572</v>
      </c>
      <c r="E123" t="s">
        <v>49</v>
      </c>
      <c r="F123" t="s">
        <v>75</v>
      </c>
      <c r="G123" s="4">
        <v>7.45</v>
      </c>
      <c r="H123" s="4">
        <v>832.8</v>
      </c>
      <c r="I123" s="4">
        <v>566.4</v>
      </c>
      <c r="J123" s="4">
        <v>29.5</v>
      </c>
      <c r="K123" s="4">
        <v>49.73</v>
      </c>
      <c r="L123" s="4">
        <v>24.87</v>
      </c>
      <c r="M123" s="4">
        <v>52.81</v>
      </c>
      <c r="N123" s="4">
        <v>8.17</v>
      </c>
      <c r="O123" s="4">
        <v>196.97</v>
      </c>
      <c r="P123" s="4">
        <v>66.540000000000006</v>
      </c>
      <c r="Q123" s="4">
        <v>49.27</v>
      </c>
      <c r="R123" s="4">
        <v>58.87</v>
      </c>
      <c r="S123" s="4">
        <v>1.01</v>
      </c>
      <c r="T123" s="4">
        <v>-3.1</v>
      </c>
      <c r="U123" s="4">
        <v>-19.97</v>
      </c>
      <c r="V123" s="4">
        <v>0.29799999999999999</v>
      </c>
      <c r="W123" s="4">
        <v>48.2</v>
      </c>
      <c r="X123" s="4">
        <v>-0.15</v>
      </c>
      <c r="Y123" s="4">
        <v>-0.33</v>
      </c>
      <c r="Z123" s="4">
        <v>-1</v>
      </c>
      <c r="AA123" s="4">
        <v>-4.97</v>
      </c>
      <c r="AB123" s="4">
        <f t="shared" si="5"/>
        <v>7.0343009585292018</v>
      </c>
      <c r="AC123" s="4">
        <f t="shared" si="6"/>
        <v>7.1334424836792927</v>
      </c>
      <c r="AD123" s="4">
        <f t="shared" si="7"/>
        <v>-0.6997693426232493</v>
      </c>
      <c r="AE123" s="4">
        <f t="shared" si="8"/>
        <v>1.5266888247635935</v>
      </c>
      <c r="AF123">
        <f t="shared" si="9"/>
        <v>35.627530305175078</v>
      </c>
      <c r="AG123" t="s">
        <v>492</v>
      </c>
      <c r="AH123" t="s">
        <v>506</v>
      </c>
      <c r="AI123" t="s">
        <v>487</v>
      </c>
      <c r="AJ123" t="s">
        <v>488</v>
      </c>
    </row>
    <row r="124" spans="1:36" x14ac:dyDescent="0.3">
      <c r="A124" t="s">
        <v>661</v>
      </c>
      <c r="B124" t="s">
        <v>232</v>
      </c>
      <c r="C124" t="s">
        <v>484</v>
      </c>
      <c r="D124" s="9" t="s">
        <v>662</v>
      </c>
      <c r="E124" t="s">
        <v>49</v>
      </c>
      <c r="F124" t="s">
        <v>142</v>
      </c>
      <c r="G124" s="4">
        <v>6.99</v>
      </c>
      <c r="H124" s="4">
        <v>515.9</v>
      </c>
      <c r="I124" s="4">
        <v>328.9</v>
      </c>
      <c r="J124" s="4">
        <v>29.9</v>
      </c>
      <c r="K124" s="4">
        <v>33.19</v>
      </c>
      <c r="L124" s="4">
        <v>11.1</v>
      </c>
      <c r="M124" s="4">
        <v>38.630000000000003</v>
      </c>
      <c r="N124" s="4">
        <v>5.2</v>
      </c>
      <c r="O124" s="4">
        <v>113.33</v>
      </c>
      <c r="P124" s="4">
        <v>54.83</v>
      </c>
      <c r="Q124" s="4">
        <v>40.24</v>
      </c>
      <c r="R124" s="4">
        <v>0.56999999999999995</v>
      </c>
      <c r="S124" s="4">
        <v>0.4</v>
      </c>
      <c r="T124" s="4">
        <v>-3.59</v>
      </c>
      <c r="U124" s="4">
        <v>-24.93</v>
      </c>
      <c r="V124" s="4">
        <v>0.106</v>
      </c>
      <c r="W124" s="4">
        <v>35</v>
      </c>
      <c r="X124" s="4">
        <v>-0.6</v>
      </c>
      <c r="Y124" s="4">
        <v>-0.67</v>
      </c>
      <c r="Z124" s="4">
        <v>-1.34</v>
      </c>
      <c r="AA124" s="4">
        <v>-5.29</v>
      </c>
      <c r="AB124" s="4">
        <f t="shared" si="5"/>
        <v>4.3830305815371187</v>
      </c>
      <c r="AC124" s="4">
        <f t="shared" si="6"/>
        <v>4.2719936357926596</v>
      </c>
      <c r="AD124" s="4">
        <f t="shared" si="7"/>
        <v>1.2829189492287276</v>
      </c>
      <c r="AE124" s="4">
        <f t="shared" si="8"/>
        <v>1.4824551926514944</v>
      </c>
      <c r="AF124">
        <f t="shared" si="9"/>
        <v>41.372469772355728</v>
      </c>
      <c r="AG124" t="s">
        <v>606</v>
      </c>
      <c r="AH124" t="s">
        <v>48</v>
      </c>
      <c r="AI124" t="s">
        <v>487</v>
      </c>
      <c r="AJ124" t="s">
        <v>488</v>
      </c>
    </row>
    <row r="125" spans="1:36" x14ac:dyDescent="0.3">
      <c r="A125" t="s">
        <v>663</v>
      </c>
      <c r="B125" t="s">
        <v>232</v>
      </c>
      <c r="C125" t="s">
        <v>490</v>
      </c>
      <c r="D125" s="9" t="s">
        <v>572</v>
      </c>
      <c r="E125" t="s">
        <v>49</v>
      </c>
      <c r="F125" t="s">
        <v>142</v>
      </c>
      <c r="G125" s="4">
        <v>6.79</v>
      </c>
      <c r="H125" s="4">
        <v>833.3</v>
      </c>
      <c r="I125" s="4">
        <v>487.3</v>
      </c>
      <c r="J125" s="4">
        <v>29.6</v>
      </c>
      <c r="K125" s="4">
        <v>44.43</v>
      </c>
      <c r="L125" s="4">
        <v>19.21</v>
      </c>
      <c r="M125" s="4">
        <v>50.77</v>
      </c>
      <c r="N125" s="4">
        <v>7.38</v>
      </c>
      <c r="O125" s="4">
        <v>160.91</v>
      </c>
      <c r="P125" s="4">
        <v>99.71</v>
      </c>
      <c r="Q125" s="4">
        <v>38.57</v>
      </c>
      <c r="R125" s="4">
        <v>8.89</v>
      </c>
      <c r="S125" s="4">
        <v>0.62</v>
      </c>
      <c r="T125" s="4">
        <v>-3.39</v>
      </c>
      <c r="U125" s="4">
        <v>-21.1</v>
      </c>
      <c r="V125" s="4">
        <v>0.16800000000000001</v>
      </c>
      <c r="W125" s="4">
        <v>47.1</v>
      </c>
      <c r="X125" s="4">
        <v>0.17</v>
      </c>
      <c r="Y125" s="4">
        <v>-0.38</v>
      </c>
      <c r="Z125" s="4">
        <v>-1.26</v>
      </c>
      <c r="AA125" s="4">
        <v>-5.05</v>
      </c>
      <c r="AB125" s="4">
        <f t="shared" si="5"/>
        <v>6.1951251850589308</v>
      </c>
      <c r="AC125" s="4">
        <f t="shared" si="6"/>
        <v>6.4286836079207292</v>
      </c>
      <c r="AD125" s="4">
        <f t="shared" si="7"/>
        <v>-1.8501422723677872</v>
      </c>
      <c r="AE125" s="4">
        <f t="shared" si="8"/>
        <v>1.6026146396400534</v>
      </c>
      <c r="AF125">
        <f t="shared" si="9"/>
        <v>38.695004618964816</v>
      </c>
      <c r="AG125" t="s">
        <v>664</v>
      </c>
      <c r="AH125" t="s">
        <v>48</v>
      </c>
      <c r="AI125" t="s">
        <v>487</v>
      </c>
      <c r="AJ125" t="s">
        <v>488</v>
      </c>
    </row>
    <row r="126" spans="1:36" x14ac:dyDescent="0.3">
      <c r="A126" t="s">
        <v>665</v>
      </c>
      <c r="B126" t="s">
        <v>234</v>
      </c>
      <c r="C126" t="s">
        <v>484</v>
      </c>
      <c r="D126" s="9" t="s">
        <v>666</v>
      </c>
      <c r="E126" t="s">
        <v>49</v>
      </c>
      <c r="F126" t="s">
        <v>75</v>
      </c>
      <c r="G126" s="4">
        <v>7.82</v>
      </c>
      <c r="H126" s="4">
        <v>534.4</v>
      </c>
      <c r="I126" s="4">
        <v>343.2</v>
      </c>
      <c r="J126" s="4">
        <v>28.5</v>
      </c>
      <c r="K126" s="4">
        <v>29.68</v>
      </c>
      <c r="L126" s="4">
        <v>13.14</v>
      </c>
      <c r="M126" s="4">
        <v>40.270000000000003</v>
      </c>
      <c r="N126" s="4">
        <v>4.1399999999999997</v>
      </c>
      <c r="O126" s="4">
        <v>123.68</v>
      </c>
      <c r="P126" s="4">
        <v>37.770000000000003</v>
      </c>
      <c r="Q126" s="4">
        <v>41.95</v>
      </c>
      <c r="R126" s="4">
        <v>10.92</v>
      </c>
      <c r="S126" s="4">
        <v>0.79</v>
      </c>
      <c r="T126" s="4">
        <v>-3.67</v>
      </c>
      <c r="U126" s="4">
        <v>-22.97</v>
      </c>
      <c r="V126" s="4">
        <v>0.25800000000000001</v>
      </c>
      <c r="W126" s="4">
        <v>37.1</v>
      </c>
      <c r="X126" s="4">
        <v>-0.33</v>
      </c>
      <c r="Y126" s="4">
        <v>-0.62</v>
      </c>
      <c r="Z126" s="4">
        <v>-1.2</v>
      </c>
      <c r="AA126" s="4">
        <v>-5.32</v>
      </c>
      <c r="AB126" s="4">
        <f t="shared" si="5"/>
        <v>4.4199659396210418</v>
      </c>
      <c r="AC126" s="4">
        <f t="shared" si="6"/>
        <v>4.1834743284499689</v>
      </c>
      <c r="AD126" s="4">
        <f t="shared" si="7"/>
        <v>2.7488028486550644</v>
      </c>
      <c r="AE126" s="4">
        <f t="shared" si="8"/>
        <v>1.5475887219554096</v>
      </c>
      <c r="AF126">
        <f t="shared" si="9"/>
        <v>42.027362492455048</v>
      </c>
      <c r="AG126" t="s">
        <v>521</v>
      </c>
      <c r="AH126" t="s">
        <v>500</v>
      </c>
      <c r="AI126" t="s">
        <v>487</v>
      </c>
      <c r="AJ126" t="s">
        <v>488</v>
      </c>
    </row>
    <row r="127" spans="1:36" x14ac:dyDescent="0.3">
      <c r="A127" t="s">
        <v>667</v>
      </c>
      <c r="B127" t="s">
        <v>234</v>
      </c>
      <c r="C127" t="s">
        <v>490</v>
      </c>
      <c r="D127" s="9" t="s">
        <v>572</v>
      </c>
      <c r="E127" t="s">
        <v>49</v>
      </c>
      <c r="F127" t="s">
        <v>75</v>
      </c>
      <c r="G127" s="4">
        <v>7.25</v>
      </c>
      <c r="H127" s="4">
        <v>848.3</v>
      </c>
      <c r="I127" s="4">
        <v>598</v>
      </c>
      <c r="J127" s="4">
        <v>29.2</v>
      </c>
      <c r="K127" s="4">
        <v>61.1</v>
      </c>
      <c r="L127" s="4">
        <v>18.03</v>
      </c>
      <c r="M127" s="4">
        <v>62.35</v>
      </c>
      <c r="N127" s="4">
        <v>7.74</v>
      </c>
      <c r="O127" s="4">
        <v>204.78</v>
      </c>
      <c r="P127" s="4">
        <v>84.99</v>
      </c>
      <c r="Q127" s="4">
        <v>66.42</v>
      </c>
      <c r="R127" s="4">
        <v>25.63</v>
      </c>
      <c r="S127" s="4">
        <v>1.21</v>
      </c>
      <c r="T127" s="4">
        <v>-3.38</v>
      </c>
      <c r="U127" s="4">
        <v>-25.81</v>
      </c>
      <c r="V127" s="4">
        <v>0.20599999999999999</v>
      </c>
      <c r="W127" s="4">
        <v>51.8</v>
      </c>
      <c r="X127" s="4">
        <v>-0.4</v>
      </c>
      <c r="Y127" s="4">
        <v>-0.66</v>
      </c>
      <c r="Z127" s="4">
        <v>-0.92</v>
      </c>
      <c r="AA127" s="4">
        <v>-5.05</v>
      </c>
      <c r="AB127" s="4">
        <f t="shared" si="5"/>
        <v>7.4428304631450608</v>
      </c>
      <c r="AC127" s="4">
        <f t="shared" si="6"/>
        <v>7.6133582554815282</v>
      </c>
      <c r="AD127" s="4">
        <f t="shared" si="7"/>
        <v>-1.1326092912577599</v>
      </c>
      <c r="AE127" s="4">
        <f t="shared" si="8"/>
        <v>1.8015773060612346</v>
      </c>
      <c r="AF127">
        <f t="shared" si="9"/>
        <v>39.099785935756515</v>
      </c>
      <c r="AG127" t="s">
        <v>497</v>
      </c>
      <c r="AH127" t="s">
        <v>48</v>
      </c>
      <c r="AI127" t="s">
        <v>487</v>
      </c>
      <c r="AJ127" t="s">
        <v>488</v>
      </c>
    </row>
    <row r="128" spans="1:36" x14ac:dyDescent="0.3">
      <c r="A128" t="s">
        <v>668</v>
      </c>
      <c r="B128" t="s">
        <v>236</v>
      </c>
      <c r="C128" t="s">
        <v>484</v>
      </c>
      <c r="D128" s="9" t="s">
        <v>628</v>
      </c>
      <c r="E128" t="s">
        <v>49</v>
      </c>
      <c r="F128" t="s">
        <v>142</v>
      </c>
      <c r="G128" s="4">
        <v>6.59</v>
      </c>
      <c r="H128" s="4">
        <v>556.29999999999995</v>
      </c>
      <c r="I128" s="4">
        <v>369.6</v>
      </c>
      <c r="J128" s="4">
        <v>28.8</v>
      </c>
      <c r="K128" s="4">
        <v>31.74</v>
      </c>
      <c r="L128" s="4">
        <v>12.32</v>
      </c>
      <c r="M128" s="4">
        <v>40.380000000000003</v>
      </c>
      <c r="N128" s="4">
        <v>4.07</v>
      </c>
      <c r="O128" s="4">
        <v>144.97</v>
      </c>
      <c r="P128" s="4">
        <v>46.12</v>
      </c>
      <c r="Q128" s="4">
        <v>25.73</v>
      </c>
      <c r="R128" s="4">
        <v>7.57</v>
      </c>
      <c r="S128" s="4">
        <v>0.41</v>
      </c>
      <c r="T128" s="4">
        <v>-4.43</v>
      </c>
      <c r="U128" s="4">
        <v>-25.14</v>
      </c>
      <c r="V128" s="4">
        <v>0.217</v>
      </c>
      <c r="W128" s="4">
        <v>53.6</v>
      </c>
      <c r="X128" s="4">
        <v>-0.55000000000000004</v>
      </c>
      <c r="Y128" s="4">
        <v>-0.79</v>
      </c>
      <c r="Z128" s="4">
        <v>-1.33</v>
      </c>
      <c r="AA128" s="4">
        <v>-4.83</v>
      </c>
      <c r="AB128" s="4">
        <f t="shared" si="5"/>
        <v>4.4582841767129811</v>
      </c>
      <c r="AC128" s="4">
        <f t="shared" si="6"/>
        <v>4.3561865932567789</v>
      </c>
      <c r="AD128" s="4">
        <f t="shared" si="7"/>
        <v>1.1582951049544681</v>
      </c>
      <c r="AE128" s="4">
        <f t="shared" si="8"/>
        <v>1.5412290667436397</v>
      </c>
      <c r="AF128">
        <f t="shared" si="9"/>
        <v>41.73331169470169</v>
      </c>
      <c r="AG128" t="s">
        <v>492</v>
      </c>
      <c r="AH128" t="s">
        <v>48</v>
      </c>
      <c r="AI128" t="s">
        <v>487</v>
      </c>
      <c r="AJ128" t="s">
        <v>488</v>
      </c>
    </row>
    <row r="129" spans="1:36" x14ac:dyDescent="0.3">
      <c r="A129" t="s">
        <v>669</v>
      </c>
      <c r="B129" t="s">
        <v>236</v>
      </c>
      <c r="C129" t="s">
        <v>490</v>
      </c>
      <c r="D129" s="9" t="s">
        <v>572</v>
      </c>
      <c r="E129" t="s">
        <v>49</v>
      </c>
      <c r="F129" t="s">
        <v>142</v>
      </c>
      <c r="G129" s="4">
        <v>6.87</v>
      </c>
      <c r="H129" s="4">
        <v>808.9</v>
      </c>
      <c r="I129" s="4">
        <v>519.20000000000005</v>
      </c>
      <c r="J129" s="4">
        <v>29.9</v>
      </c>
      <c r="K129" s="4">
        <v>48.76</v>
      </c>
      <c r="L129" s="4">
        <v>16.61</v>
      </c>
      <c r="M129" s="4">
        <v>63.43</v>
      </c>
      <c r="N129" s="4">
        <v>6.27</v>
      </c>
      <c r="O129" s="4">
        <v>193.22</v>
      </c>
      <c r="P129" s="4">
        <v>79.31</v>
      </c>
      <c r="Q129" s="4">
        <v>47.71</v>
      </c>
      <c r="R129" s="4">
        <v>10.81</v>
      </c>
      <c r="S129" s="4">
        <v>0.88</v>
      </c>
      <c r="T129" s="4">
        <v>-3.41</v>
      </c>
      <c r="U129" s="4">
        <v>-20.440000000000001</v>
      </c>
      <c r="V129" s="4">
        <v>0.19</v>
      </c>
      <c r="W129" s="4">
        <v>38.1</v>
      </c>
      <c r="X129" s="4">
        <v>-0.43</v>
      </c>
      <c r="Y129" s="4">
        <v>-0.88</v>
      </c>
      <c r="Z129" s="4">
        <v>-0.73</v>
      </c>
      <c r="AA129" s="4">
        <v>-4.9000000000000004</v>
      </c>
      <c r="AB129" s="4">
        <f t="shared" si="5"/>
        <v>6.7195640453233016</v>
      </c>
      <c r="AC129" s="4">
        <f t="shared" si="6"/>
        <v>6.617755824143182</v>
      </c>
      <c r="AD129" s="4">
        <f t="shared" si="7"/>
        <v>0.76333342962848338</v>
      </c>
      <c r="AE129" s="4">
        <f t="shared" si="8"/>
        <v>2.0016809361896342</v>
      </c>
      <c r="AF129">
        <f t="shared" si="9"/>
        <v>43.447936768212429</v>
      </c>
      <c r="AG129" t="s">
        <v>492</v>
      </c>
      <c r="AH129" t="s">
        <v>48</v>
      </c>
      <c r="AI129" t="s">
        <v>487</v>
      </c>
      <c r="AJ129" t="s">
        <v>488</v>
      </c>
    </row>
    <row r="130" spans="1:36" x14ac:dyDescent="0.3">
      <c r="A130" t="s">
        <v>670</v>
      </c>
      <c r="B130" t="s">
        <v>238</v>
      </c>
      <c r="C130" t="s">
        <v>484</v>
      </c>
      <c r="D130" s="9" t="s">
        <v>520</v>
      </c>
      <c r="E130" t="s">
        <v>49</v>
      </c>
      <c r="F130" t="s">
        <v>75</v>
      </c>
      <c r="G130" s="4">
        <v>6.86</v>
      </c>
      <c r="H130" s="4">
        <v>554.6</v>
      </c>
      <c r="I130" s="4">
        <v>376.4</v>
      </c>
      <c r="J130" s="4">
        <v>28.7</v>
      </c>
      <c r="K130" s="4">
        <v>30.54</v>
      </c>
      <c r="L130" s="4">
        <v>7.97</v>
      </c>
      <c r="M130" s="4">
        <v>42.77</v>
      </c>
      <c r="N130" s="4">
        <v>4.67</v>
      </c>
      <c r="O130" s="4">
        <v>136.08000000000001</v>
      </c>
      <c r="P130" s="4">
        <v>41.37</v>
      </c>
      <c r="Q130" s="4">
        <v>34.25</v>
      </c>
      <c r="R130" s="4">
        <v>12.34</v>
      </c>
      <c r="S130" s="4">
        <v>0.33</v>
      </c>
      <c r="T130" s="4">
        <v>-3.64</v>
      </c>
      <c r="U130" s="4">
        <v>-21.56</v>
      </c>
      <c r="V130" s="4">
        <v>0.184</v>
      </c>
      <c r="W130" s="4">
        <v>59.8</v>
      </c>
      <c r="X130" s="4">
        <v>-0.26</v>
      </c>
      <c r="Y130" s="4">
        <v>-0.47</v>
      </c>
      <c r="Z130" s="4">
        <v>-0.91</v>
      </c>
      <c r="AA130" s="4">
        <v>-5.56</v>
      </c>
      <c r="AB130" s="4">
        <f t="shared" ref="AB130:AB193" si="10">K130/20.039+L130/12.1525+M130/22.989+N130/39.098</f>
        <v>4.1597587284332489</v>
      </c>
      <c r="AC130" s="4">
        <f t="shared" ref="AC130:AC193" si="11">O130/61.016+P130/35.453+Q130/48.03+R130/62.0049+S130/18.998</f>
        <v>4.3266144716445272</v>
      </c>
      <c r="AD130" s="4">
        <f t="shared" ref="AD130:AD193" si="12">100*(AB130-AC130)/(AB130+AC130)</f>
        <v>-1.966160800113635</v>
      </c>
      <c r="AE130" s="4">
        <f t="shared" ref="AE130:AE193" si="13">(M130/22.989)/SQRT(((K130/20.039)+(L130/12.1525))/2)</f>
        <v>1.7820498105784528</v>
      </c>
      <c r="AF130">
        <f t="shared" ref="AF130:AF193" si="14">100*((M130/22.989)+(N130/39.098))/AB130</f>
        <v>47.596473239591994</v>
      </c>
      <c r="AG130" t="s">
        <v>521</v>
      </c>
      <c r="AH130" t="s">
        <v>500</v>
      </c>
      <c r="AI130" t="s">
        <v>487</v>
      </c>
      <c r="AJ130" t="s">
        <v>488</v>
      </c>
    </row>
    <row r="131" spans="1:36" x14ac:dyDescent="0.3">
      <c r="A131" t="s">
        <v>671</v>
      </c>
      <c r="B131" t="s">
        <v>238</v>
      </c>
      <c r="C131" t="s">
        <v>490</v>
      </c>
      <c r="D131" s="9" t="s">
        <v>502</v>
      </c>
      <c r="E131" t="s">
        <v>49</v>
      </c>
      <c r="F131" t="s">
        <v>75</v>
      </c>
      <c r="G131" s="4">
        <v>7.26</v>
      </c>
      <c r="H131" s="4">
        <v>900.8</v>
      </c>
      <c r="I131" s="4">
        <v>512.6</v>
      </c>
      <c r="J131" s="4">
        <v>29.2</v>
      </c>
      <c r="K131" s="4">
        <v>51.97</v>
      </c>
      <c r="L131" s="4">
        <v>17.399999999999999</v>
      </c>
      <c r="M131" s="4">
        <v>47.4</v>
      </c>
      <c r="N131" s="4">
        <v>5.62</v>
      </c>
      <c r="O131" s="4">
        <v>182.99</v>
      </c>
      <c r="P131" s="4">
        <v>69.180000000000007</v>
      </c>
      <c r="Q131" s="4">
        <v>48.1</v>
      </c>
      <c r="R131" s="4">
        <v>16.02</v>
      </c>
      <c r="S131" s="4">
        <v>0.73</v>
      </c>
      <c r="T131" s="4">
        <v>-3.27</v>
      </c>
      <c r="U131" s="4">
        <v>-16.27</v>
      </c>
      <c r="V131" s="4">
        <v>0.18</v>
      </c>
      <c r="W131" s="4">
        <v>56.9</v>
      </c>
      <c r="X131" s="4">
        <v>-0.27</v>
      </c>
      <c r="Y131" s="4">
        <v>-0.5</v>
      </c>
      <c r="Z131" s="4">
        <v>-1.22</v>
      </c>
      <c r="AA131" s="4">
        <v>-4.5599999999999996</v>
      </c>
      <c r="AB131" s="4">
        <f t="shared" si="10"/>
        <v>6.2308439800377453</v>
      </c>
      <c r="AC131" s="4">
        <f t="shared" si="11"/>
        <v>6.2486144535403492</v>
      </c>
      <c r="AD131" s="4">
        <f t="shared" si="12"/>
        <v>-0.14239779392020241</v>
      </c>
      <c r="AE131" s="4">
        <f t="shared" si="13"/>
        <v>1.4533726888270575</v>
      </c>
      <c r="AF131">
        <f t="shared" si="14"/>
        <v>35.398046316265393</v>
      </c>
      <c r="AG131" t="s">
        <v>497</v>
      </c>
      <c r="AH131" t="s">
        <v>48</v>
      </c>
      <c r="AI131" t="s">
        <v>487</v>
      </c>
      <c r="AJ131" t="s">
        <v>488</v>
      </c>
    </row>
    <row r="132" spans="1:36" x14ac:dyDescent="0.3">
      <c r="A132" t="s">
        <v>672</v>
      </c>
      <c r="B132" t="s">
        <v>240</v>
      </c>
      <c r="C132" t="s">
        <v>484</v>
      </c>
      <c r="D132" s="9" t="s">
        <v>551</v>
      </c>
      <c r="E132" t="s">
        <v>49</v>
      </c>
      <c r="F132" t="s">
        <v>101</v>
      </c>
      <c r="G132" s="4">
        <v>7.19</v>
      </c>
      <c r="H132" s="4">
        <v>650.29999999999995</v>
      </c>
      <c r="I132" s="4">
        <v>367.6</v>
      </c>
      <c r="J132" s="4">
        <v>29.2</v>
      </c>
      <c r="K132" s="4">
        <v>38.24</v>
      </c>
      <c r="L132" s="4">
        <v>10.67</v>
      </c>
      <c r="M132" s="4">
        <v>31.11</v>
      </c>
      <c r="N132" s="4">
        <v>4.5999999999999996</v>
      </c>
      <c r="O132" s="4">
        <v>113.59</v>
      </c>
      <c r="P132" s="4">
        <v>58.47</v>
      </c>
      <c r="Q132" s="4">
        <v>29.08</v>
      </c>
      <c r="R132" s="4">
        <v>5.51</v>
      </c>
      <c r="S132" s="4">
        <v>0.45</v>
      </c>
      <c r="T132" s="4">
        <v>-3.62</v>
      </c>
      <c r="U132" s="4">
        <v>-23.16</v>
      </c>
      <c r="V132" s="4">
        <v>0.159</v>
      </c>
      <c r="W132" s="4">
        <v>60.6</v>
      </c>
      <c r="X132" s="4">
        <v>0.04</v>
      </c>
      <c r="Y132" s="4">
        <v>-0.17</v>
      </c>
      <c r="Z132" s="4">
        <v>-1.36</v>
      </c>
      <c r="AA132" s="4">
        <v>-5.26</v>
      </c>
      <c r="AB132" s="4">
        <f t="shared" si="10"/>
        <v>4.257196478309611</v>
      </c>
      <c r="AC132" s="4">
        <f t="shared" si="11"/>
        <v>4.2288741557515346</v>
      </c>
      <c r="AD132" s="4">
        <f t="shared" si="12"/>
        <v>0.33375072845136483</v>
      </c>
      <c r="AE132" s="4">
        <f t="shared" si="13"/>
        <v>1.1465208728754988</v>
      </c>
      <c r="AF132">
        <f t="shared" si="14"/>
        <v>34.551118074442712</v>
      </c>
      <c r="AG132" t="s">
        <v>673</v>
      </c>
      <c r="AH132" t="s">
        <v>48</v>
      </c>
      <c r="AI132" t="s">
        <v>487</v>
      </c>
      <c r="AJ132" t="s">
        <v>488</v>
      </c>
    </row>
    <row r="133" spans="1:36" x14ac:dyDescent="0.3">
      <c r="A133" t="s">
        <v>674</v>
      </c>
      <c r="B133" t="s">
        <v>240</v>
      </c>
      <c r="C133" t="s">
        <v>490</v>
      </c>
      <c r="D133" s="9" t="s">
        <v>546</v>
      </c>
      <c r="E133" t="s">
        <v>49</v>
      </c>
      <c r="F133" t="s">
        <v>101</v>
      </c>
      <c r="G133" s="4">
        <v>7.25</v>
      </c>
      <c r="H133" s="4">
        <v>808.5</v>
      </c>
      <c r="I133" s="4">
        <v>569</v>
      </c>
      <c r="J133" s="4">
        <v>30.7</v>
      </c>
      <c r="K133" s="4">
        <v>52.39</v>
      </c>
      <c r="L133" s="4">
        <v>18.29</v>
      </c>
      <c r="M133" s="4">
        <v>60.52</v>
      </c>
      <c r="N133" s="4">
        <v>5.3</v>
      </c>
      <c r="O133" s="4">
        <v>196.25</v>
      </c>
      <c r="P133" s="4">
        <v>94.62</v>
      </c>
      <c r="Q133" s="4">
        <v>41.5</v>
      </c>
      <c r="R133" s="4">
        <v>17</v>
      </c>
      <c r="S133" s="4">
        <v>1.32</v>
      </c>
      <c r="T133" s="4">
        <v>-3.36</v>
      </c>
      <c r="U133" s="4">
        <v>-18.28</v>
      </c>
      <c r="V133" s="4">
        <v>0.21199999999999999</v>
      </c>
      <c r="W133" s="4">
        <v>66.7</v>
      </c>
      <c r="X133" s="4">
        <v>0.05</v>
      </c>
      <c r="Y133" s="4">
        <v>-0.13</v>
      </c>
      <c r="Z133" s="4">
        <v>-0.64</v>
      </c>
      <c r="AA133" s="4">
        <v>-4.51</v>
      </c>
      <c r="AB133" s="4">
        <f t="shared" si="10"/>
        <v>6.8875622373275522</v>
      </c>
      <c r="AC133" s="4">
        <f t="shared" si="11"/>
        <v>7.092951227896318</v>
      </c>
      <c r="AD133" s="4">
        <f t="shared" si="12"/>
        <v>-1.4691090644107248</v>
      </c>
      <c r="AE133" s="4">
        <f t="shared" si="13"/>
        <v>1.8343180472867613</v>
      </c>
      <c r="AF133">
        <f t="shared" si="14"/>
        <v>40.190129838096283</v>
      </c>
      <c r="AG133" t="s">
        <v>606</v>
      </c>
      <c r="AH133" t="s">
        <v>48</v>
      </c>
      <c r="AI133" t="s">
        <v>487</v>
      </c>
      <c r="AJ133" t="s">
        <v>488</v>
      </c>
    </row>
    <row r="134" spans="1:36" x14ac:dyDescent="0.3">
      <c r="A134" t="s">
        <v>675</v>
      </c>
      <c r="B134" t="s">
        <v>242</v>
      </c>
      <c r="C134" t="s">
        <v>484</v>
      </c>
      <c r="D134" s="9" t="s">
        <v>485</v>
      </c>
      <c r="E134" t="s">
        <v>49</v>
      </c>
      <c r="F134" t="s">
        <v>75</v>
      </c>
      <c r="G134" s="4">
        <v>6.83</v>
      </c>
      <c r="H134" s="4">
        <v>607.4</v>
      </c>
      <c r="I134" s="4">
        <v>396.5</v>
      </c>
      <c r="J134" s="4">
        <v>29.6</v>
      </c>
      <c r="K134" s="4">
        <v>33.159999999999997</v>
      </c>
      <c r="L134" s="4">
        <v>10.87</v>
      </c>
      <c r="M134" s="4">
        <v>44.86</v>
      </c>
      <c r="N134" s="4">
        <v>3.47</v>
      </c>
      <c r="O134" s="4">
        <v>144.62</v>
      </c>
      <c r="P134" s="4">
        <v>38.06</v>
      </c>
      <c r="Q134" s="4">
        <v>37.07</v>
      </c>
      <c r="R134" s="4">
        <v>19.77</v>
      </c>
      <c r="S134" s="4">
        <v>0.37</v>
      </c>
      <c r="T134" s="4">
        <v>-4.6500000000000004</v>
      </c>
      <c r="U134" s="4">
        <v>-31.95</v>
      </c>
      <c r="V134" s="4">
        <v>0.28499999999999998</v>
      </c>
      <c r="W134" s="4">
        <v>48.2</v>
      </c>
      <c r="X134" s="4">
        <v>-0.4</v>
      </c>
      <c r="Y134" s="4">
        <v>-0.52</v>
      </c>
      <c r="Z134" s="4">
        <v>-0.77</v>
      </c>
      <c r="AA134" s="4">
        <v>-5.27</v>
      </c>
      <c r="AB134" s="4">
        <f t="shared" si="10"/>
        <v>4.5893587398682616</v>
      </c>
      <c r="AC134" s="4">
        <f t="shared" si="11"/>
        <v>4.5538627442070325</v>
      </c>
      <c r="AD134" s="4">
        <f t="shared" si="12"/>
        <v>0.38822198196830604</v>
      </c>
      <c r="AE134" s="4">
        <f t="shared" si="13"/>
        <v>1.7284183955773695</v>
      </c>
      <c r="AF134">
        <f t="shared" si="14"/>
        <v>44.453255977658955</v>
      </c>
      <c r="AG134" t="s">
        <v>492</v>
      </c>
      <c r="AH134" t="s">
        <v>500</v>
      </c>
      <c r="AI134" t="s">
        <v>487</v>
      </c>
      <c r="AJ134" t="s">
        <v>488</v>
      </c>
    </row>
    <row r="135" spans="1:36" x14ac:dyDescent="0.3">
      <c r="A135" t="s">
        <v>676</v>
      </c>
      <c r="B135" t="s">
        <v>242</v>
      </c>
      <c r="C135" t="s">
        <v>490</v>
      </c>
      <c r="D135" s="9" t="s">
        <v>535</v>
      </c>
      <c r="E135" t="s">
        <v>49</v>
      </c>
      <c r="F135" t="s">
        <v>75</v>
      </c>
      <c r="G135" s="4">
        <v>7.02</v>
      </c>
      <c r="H135" s="4">
        <v>866.9</v>
      </c>
      <c r="I135" s="4">
        <v>503.9</v>
      </c>
      <c r="J135" s="4">
        <v>30.3</v>
      </c>
      <c r="K135" s="4">
        <v>51.78</v>
      </c>
      <c r="L135" s="4">
        <v>17.420000000000002</v>
      </c>
      <c r="M135" s="4">
        <v>51.91</v>
      </c>
      <c r="N135" s="4">
        <v>5.88</v>
      </c>
      <c r="O135" s="4">
        <v>178.73</v>
      </c>
      <c r="P135" s="4">
        <v>68.73</v>
      </c>
      <c r="Q135" s="4">
        <v>62.04</v>
      </c>
      <c r="R135" s="4">
        <v>26.41</v>
      </c>
      <c r="S135" s="4">
        <v>0.53</v>
      </c>
      <c r="T135" s="4">
        <v>-3.16</v>
      </c>
      <c r="U135" s="4">
        <v>-20.5</v>
      </c>
      <c r="V135" s="4">
        <v>0.23400000000000001</v>
      </c>
      <c r="W135" s="4">
        <v>40.9</v>
      </c>
      <c r="X135" s="4">
        <v>-0.47</v>
      </c>
      <c r="Y135" s="4">
        <v>-0.49</v>
      </c>
      <c r="Z135" s="4">
        <v>-0.97</v>
      </c>
      <c r="AA135" s="4">
        <v>-4.7</v>
      </c>
      <c r="AB135" s="4">
        <f t="shared" si="10"/>
        <v>6.4258389595199015</v>
      </c>
      <c r="AC135" s="4">
        <f t="shared" si="11"/>
        <v>6.6133790874638159</v>
      </c>
      <c r="AD135" s="4">
        <f t="shared" si="12"/>
        <v>-1.4382774125577025</v>
      </c>
      <c r="AE135" s="4">
        <f t="shared" si="13"/>
        <v>1.5932091955262981</v>
      </c>
      <c r="AF135">
        <f t="shared" si="14"/>
        <v>37.480363136281227</v>
      </c>
      <c r="AG135" t="s">
        <v>497</v>
      </c>
      <c r="AH135" t="s">
        <v>48</v>
      </c>
      <c r="AI135" t="s">
        <v>487</v>
      </c>
      <c r="AJ135" t="s">
        <v>488</v>
      </c>
    </row>
    <row r="136" spans="1:36" x14ac:dyDescent="0.3">
      <c r="A136" t="s">
        <v>677</v>
      </c>
      <c r="B136" t="s">
        <v>244</v>
      </c>
      <c r="C136" t="s">
        <v>484</v>
      </c>
      <c r="D136" s="9" t="s">
        <v>520</v>
      </c>
      <c r="E136" t="s">
        <v>49</v>
      </c>
      <c r="F136" t="s">
        <v>101</v>
      </c>
      <c r="G136" s="4">
        <v>7.13</v>
      </c>
      <c r="H136" s="4">
        <v>572.5</v>
      </c>
      <c r="I136" s="4">
        <v>380.2</v>
      </c>
      <c r="J136" s="4">
        <v>29</v>
      </c>
      <c r="K136" s="4">
        <v>26.05</v>
      </c>
      <c r="L136" s="4">
        <v>12.11</v>
      </c>
      <c r="M136" s="4">
        <v>40.409999999999997</v>
      </c>
      <c r="N136" s="4">
        <v>5.33</v>
      </c>
      <c r="O136" s="4">
        <v>112.1</v>
      </c>
      <c r="P136" s="4">
        <v>48.28</v>
      </c>
      <c r="Q136" s="4">
        <v>35.74</v>
      </c>
      <c r="R136" s="4">
        <v>20.21</v>
      </c>
      <c r="S136" s="4">
        <v>0.52</v>
      </c>
      <c r="T136" s="4">
        <v>-3.88</v>
      </c>
      <c r="U136" s="4">
        <v>-25.15</v>
      </c>
      <c r="V136" s="4">
        <v>0.223</v>
      </c>
      <c r="W136" s="4">
        <v>68.3</v>
      </c>
      <c r="X136" s="4">
        <v>-0.26</v>
      </c>
      <c r="Y136" s="4">
        <v>-0.5</v>
      </c>
      <c r="Z136" s="4">
        <v>-1.1100000000000001</v>
      </c>
      <c r="AA136" s="4">
        <v>-4.9400000000000004</v>
      </c>
      <c r="AB136" s="4">
        <f t="shared" si="10"/>
        <v>4.1905891613336079</v>
      </c>
      <c r="AC136" s="4">
        <f t="shared" si="11"/>
        <v>4.2964575175224544</v>
      </c>
      <c r="AD136" s="4">
        <f t="shared" si="12"/>
        <v>-1.2474110275910029</v>
      </c>
      <c r="AE136" s="4">
        <f t="shared" si="13"/>
        <v>1.6404144399073579</v>
      </c>
      <c r="AF136">
        <f t="shared" si="14"/>
        <v>45.199403785202314</v>
      </c>
      <c r="AG136" t="s">
        <v>521</v>
      </c>
      <c r="AH136" t="s">
        <v>48</v>
      </c>
      <c r="AI136" t="s">
        <v>487</v>
      </c>
      <c r="AJ136" t="s">
        <v>488</v>
      </c>
    </row>
    <row r="137" spans="1:36" x14ac:dyDescent="0.3">
      <c r="A137" t="s">
        <v>678</v>
      </c>
      <c r="B137" t="s">
        <v>244</v>
      </c>
      <c r="C137" t="s">
        <v>490</v>
      </c>
      <c r="D137" s="9" t="s">
        <v>572</v>
      </c>
      <c r="E137" t="s">
        <v>49</v>
      </c>
      <c r="F137" t="s">
        <v>101</v>
      </c>
      <c r="G137" s="4">
        <v>6.82</v>
      </c>
      <c r="H137" s="4">
        <v>773.8</v>
      </c>
      <c r="I137" s="4">
        <v>553.4</v>
      </c>
      <c r="J137" s="4">
        <v>29.7</v>
      </c>
      <c r="K137" s="4">
        <v>52.19</v>
      </c>
      <c r="L137" s="4">
        <v>20.48</v>
      </c>
      <c r="M137" s="4">
        <v>56.84</v>
      </c>
      <c r="N137" s="4">
        <v>6.72</v>
      </c>
      <c r="O137" s="4">
        <v>209.19</v>
      </c>
      <c r="P137" s="4">
        <v>70.709999999999994</v>
      </c>
      <c r="Q137" s="4">
        <v>51.27</v>
      </c>
      <c r="R137" s="4">
        <v>23.13</v>
      </c>
      <c r="S137" s="4">
        <v>0.27</v>
      </c>
      <c r="T137" s="4">
        <v>-2.79</v>
      </c>
      <c r="U137" s="4">
        <v>-17.03</v>
      </c>
      <c r="V137" s="4">
        <v>0.222</v>
      </c>
      <c r="W137" s="4">
        <v>64.599999999999994</v>
      </c>
      <c r="X137" s="4">
        <v>-0.26</v>
      </c>
      <c r="Y137" s="4">
        <v>-0.47</v>
      </c>
      <c r="Z137" s="4">
        <v>-0.81</v>
      </c>
      <c r="AA137" s="4">
        <v>-5.13</v>
      </c>
      <c r="AB137" s="4">
        <f t="shared" si="10"/>
        <v>6.9340339676890705</v>
      </c>
      <c r="AC137" s="4">
        <f t="shared" si="11"/>
        <v>6.8776214474183384</v>
      </c>
      <c r="AD137" s="4">
        <f t="shared" si="12"/>
        <v>0.40844141107826409</v>
      </c>
      <c r="AE137" s="4">
        <f t="shared" si="13"/>
        <v>1.6882508530178324</v>
      </c>
      <c r="AF137">
        <f t="shared" si="14"/>
        <v>38.135992023238146</v>
      </c>
      <c r="AG137" t="s">
        <v>492</v>
      </c>
      <c r="AH137" t="s">
        <v>48</v>
      </c>
      <c r="AI137" t="s">
        <v>487</v>
      </c>
      <c r="AJ137" t="s">
        <v>488</v>
      </c>
    </row>
    <row r="138" spans="1:36" x14ac:dyDescent="0.3">
      <c r="A138" t="s">
        <v>679</v>
      </c>
      <c r="B138" t="s">
        <v>246</v>
      </c>
      <c r="C138" t="s">
        <v>484</v>
      </c>
      <c r="D138" s="9" t="s">
        <v>649</v>
      </c>
      <c r="E138" t="s">
        <v>49</v>
      </c>
      <c r="F138" t="s">
        <v>75</v>
      </c>
      <c r="G138" s="4">
        <v>7.89</v>
      </c>
      <c r="H138" s="4">
        <v>568.20000000000005</v>
      </c>
      <c r="I138" s="4">
        <v>365.1</v>
      </c>
      <c r="J138" s="4">
        <v>28.8</v>
      </c>
      <c r="K138" s="4">
        <v>33.18</v>
      </c>
      <c r="L138" s="4">
        <v>11.16</v>
      </c>
      <c r="M138" s="4">
        <v>35.6</v>
      </c>
      <c r="N138" s="4">
        <v>3.8</v>
      </c>
      <c r="O138" s="4">
        <v>131.94</v>
      </c>
      <c r="P138" s="4">
        <v>38.47</v>
      </c>
      <c r="Q138" s="4">
        <v>41.17</v>
      </c>
      <c r="R138" s="4">
        <v>10.92</v>
      </c>
      <c r="S138" s="4">
        <v>0.62</v>
      </c>
      <c r="T138" s="4">
        <v>-4.45</v>
      </c>
      <c r="U138" s="4">
        <v>-28.09</v>
      </c>
      <c r="V138" s="4">
        <v>0.20499999999999999</v>
      </c>
      <c r="W138" s="4">
        <v>60.4</v>
      </c>
      <c r="X138" s="4">
        <v>-0.39</v>
      </c>
      <c r="Y138" s="4">
        <v>-0.77</v>
      </c>
      <c r="Z138" s="4">
        <v>-0.91</v>
      </c>
      <c r="AA138" s="4">
        <v>-5.38</v>
      </c>
      <c r="AB138" s="4">
        <f t="shared" si="10"/>
        <v>4.2198591859128411</v>
      </c>
      <c r="AC138" s="4">
        <f t="shared" si="11"/>
        <v>4.3134049464520423</v>
      </c>
      <c r="AD138" s="4">
        <f t="shared" si="12"/>
        <v>-1.0962482713315023</v>
      </c>
      <c r="AE138" s="4">
        <f t="shared" si="13"/>
        <v>1.3649983929716591</v>
      </c>
      <c r="AF138">
        <f t="shared" si="14"/>
        <v>39.000315070184293</v>
      </c>
      <c r="AG138" t="s">
        <v>497</v>
      </c>
      <c r="AH138" t="s">
        <v>48</v>
      </c>
      <c r="AI138" t="s">
        <v>487</v>
      </c>
      <c r="AJ138" t="s">
        <v>488</v>
      </c>
    </row>
    <row r="139" spans="1:36" x14ac:dyDescent="0.3">
      <c r="A139" t="s">
        <v>680</v>
      </c>
      <c r="B139" t="s">
        <v>246</v>
      </c>
      <c r="C139" t="s">
        <v>490</v>
      </c>
      <c r="D139" s="9" t="s">
        <v>597</v>
      </c>
      <c r="E139" t="s">
        <v>49</v>
      </c>
      <c r="F139" t="s">
        <v>75</v>
      </c>
      <c r="G139" s="4">
        <v>7.27</v>
      </c>
      <c r="H139" s="4">
        <v>861</v>
      </c>
      <c r="I139" s="4">
        <v>557.4</v>
      </c>
      <c r="J139" s="4">
        <v>30.2</v>
      </c>
      <c r="K139" s="4">
        <v>57.86</v>
      </c>
      <c r="L139" s="4">
        <v>15.06</v>
      </c>
      <c r="M139" s="4">
        <v>66.88</v>
      </c>
      <c r="N139" s="4">
        <v>8.1999999999999993</v>
      </c>
      <c r="O139" s="4">
        <v>191.19</v>
      </c>
      <c r="P139" s="4">
        <v>88.64</v>
      </c>
      <c r="Q139" s="4">
        <v>66.459999999999994</v>
      </c>
      <c r="R139" s="4">
        <v>19.55</v>
      </c>
      <c r="S139" s="4">
        <v>1</v>
      </c>
      <c r="T139" s="4">
        <v>-3.03</v>
      </c>
      <c r="U139" s="4">
        <v>-15.77</v>
      </c>
      <c r="V139" s="4">
        <v>0.28599999999999998</v>
      </c>
      <c r="W139" s="4">
        <v>37.9</v>
      </c>
      <c r="X139" s="4">
        <v>0.22</v>
      </c>
      <c r="Y139" s="4">
        <v>-0.11</v>
      </c>
      <c r="Z139" s="4">
        <v>-1.02</v>
      </c>
      <c r="AA139" s="4">
        <v>-4.07</v>
      </c>
      <c r="AB139" s="4">
        <f t="shared" si="10"/>
        <v>7.2455676618551488</v>
      </c>
      <c r="AC139" s="4">
        <f t="shared" si="11"/>
        <v>7.3853052476767047</v>
      </c>
      <c r="AD139" s="4">
        <f t="shared" si="12"/>
        <v>-0.95508714131826289</v>
      </c>
      <c r="AE139" s="4">
        <f t="shared" si="13"/>
        <v>2.0253211589999998</v>
      </c>
      <c r="AF139">
        <f t="shared" si="14"/>
        <v>43.046273188060752</v>
      </c>
      <c r="AG139" t="s">
        <v>492</v>
      </c>
      <c r="AH139" t="s">
        <v>48</v>
      </c>
      <c r="AI139" t="s">
        <v>487</v>
      </c>
      <c r="AJ139" t="s">
        <v>488</v>
      </c>
    </row>
    <row r="140" spans="1:36" x14ac:dyDescent="0.3">
      <c r="A140" t="s">
        <v>681</v>
      </c>
      <c r="B140" t="s">
        <v>248</v>
      </c>
      <c r="C140" t="s">
        <v>484</v>
      </c>
      <c r="D140" s="9" t="s">
        <v>499</v>
      </c>
      <c r="E140" t="s">
        <v>49</v>
      </c>
      <c r="F140" t="s">
        <v>101</v>
      </c>
      <c r="G140" s="4">
        <v>6.93</v>
      </c>
      <c r="H140" s="4">
        <v>510</v>
      </c>
      <c r="I140" s="4">
        <v>322</v>
      </c>
      <c r="J140" s="4">
        <v>28.5</v>
      </c>
      <c r="K140" s="4">
        <v>36.65</v>
      </c>
      <c r="L140" s="4">
        <v>8.2799999999999994</v>
      </c>
      <c r="M140" s="4">
        <v>20.059999999999999</v>
      </c>
      <c r="N140" s="4">
        <v>4.25</v>
      </c>
      <c r="O140" s="4">
        <v>102.23</v>
      </c>
      <c r="P140" s="4">
        <v>32.25</v>
      </c>
      <c r="Q140" s="4">
        <v>27.72</v>
      </c>
      <c r="R140" s="4">
        <v>14.9</v>
      </c>
      <c r="S140" s="4">
        <v>0.7</v>
      </c>
      <c r="T140" s="4">
        <v>-4.59</v>
      </c>
      <c r="U140" s="4">
        <v>-26.16</v>
      </c>
      <c r="V140" s="4">
        <v>0.218</v>
      </c>
      <c r="W140" s="4">
        <v>65.5</v>
      </c>
      <c r="X140" s="4">
        <v>-0.39</v>
      </c>
      <c r="Y140" s="4">
        <v>-0.64</v>
      </c>
      <c r="Z140" s="4">
        <v>-1.06</v>
      </c>
      <c r="AA140" s="4">
        <v>-4.82</v>
      </c>
      <c r="AB140" s="4">
        <f t="shared" si="10"/>
        <v>3.4915673189473821</v>
      </c>
      <c r="AC140" s="4">
        <f t="shared" si="11"/>
        <v>3.4394060707439178</v>
      </c>
      <c r="AD140" s="4">
        <f t="shared" si="12"/>
        <v>0.7525818564106127</v>
      </c>
      <c r="AE140" s="4">
        <f t="shared" si="13"/>
        <v>0.77887041419591529</v>
      </c>
      <c r="AF140">
        <f t="shared" si="14"/>
        <v>28.104640752635319</v>
      </c>
      <c r="AG140" t="s">
        <v>486</v>
      </c>
      <c r="AH140" t="s">
        <v>48</v>
      </c>
      <c r="AI140" t="s">
        <v>487</v>
      </c>
      <c r="AJ140" t="s">
        <v>488</v>
      </c>
    </row>
    <row r="141" spans="1:36" x14ac:dyDescent="0.3">
      <c r="A141" t="s">
        <v>682</v>
      </c>
      <c r="B141" t="s">
        <v>248</v>
      </c>
      <c r="C141" t="s">
        <v>490</v>
      </c>
      <c r="D141" s="9" t="s">
        <v>496</v>
      </c>
      <c r="E141" t="s">
        <v>49</v>
      </c>
      <c r="F141" t="s">
        <v>101</v>
      </c>
      <c r="G141" s="4">
        <v>6.97</v>
      </c>
      <c r="H141" s="4">
        <v>662.5</v>
      </c>
      <c r="I141" s="4">
        <v>429.3</v>
      </c>
      <c r="J141" s="4">
        <v>29.1</v>
      </c>
      <c r="K141" s="4">
        <v>40.39</v>
      </c>
      <c r="L141" s="4">
        <v>15.51</v>
      </c>
      <c r="M141" s="4">
        <v>37.18</v>
      </c>
      <c r="N141" s="4">
        <v>5.61</v>
      </c>
      <c r="O141" s="4">
        <v>142.96</v>
      </c>
      <c r="P141" s="4">
        <v>60.64</v>
      </c>
      <c r="Q141" s="4">
        <v>35.24</v>
      </c>
      <c r="R141" s="4">
        <v>15.72</v>
      </c>
      <c r="S141" s="4">
        <v>1.04</v>
      </c>
      <c r="T141" s="4">
        <v>-3.41</v>
      </c>
      <c r="U141" s="4">
        <v>-21.41</v>
      </c>
      <c r="V141" s="4">
        <v>0.12</v>
      </c>
      <c r="W141" s="4">
        <v>63.3</v>
      </c>
      <c r="X141" s="4">
        <v>-0.46</v>
      </c>
      <c r="Y141" s="4">
        <v>-0.63</v>
      </c>
      <c r="Z141" s="4">
        <v>-1.1299999999999999</v>
      </c>
      <c r="AA141" s="4">
        <v>-5.0599999999999996</v>
      </c>
      <c r="AB141" s="4">
        <f t="shared" si="10"/>
        <v>5.0526310683420519</v>
      </c>
      <c r="AC141" s="4">
        <f t="shared" si="11"/>
        <v>5.0954045875840448</v>
      </c>
      <c r="AD141" s="4">
        <f t="shared" si="12"/>
        <v>-0.42149555531975952</v>
      </c>
      <c r="AE141" s="4">
        <f t="shared" si="13"/>
        <v>1.2606202189202182</v>
      </c>
      <c r="AF141">
        <f t="shared" si="14"/>
        <v>34.848790751247726</v>
      </c>
      <c r="AG141" t="s">
        <v>497</v>
      </c>
      <c r="AH141" t="s">
        <v>48</v>
      </c>
      <c r="AI141" t="s">
        <v>487</v>
      </c>
      <c r="AJ141" t="s">
        <v>488</v>
      </c>
    </row>
    <row r="142" spans="1:36" x14ac:dyDescent="0.3">
      <c r="A142" t="s">
        <v>683</v>
      </c>
      <c r="B142" t="s">
        <v>250</v>
      </c>
      <c r="C142" t="s">
        <v>484</v>
      </c>
      <c r="D142" s="9" t="s">
        <v>520</v>
      </c>
      <c r="E142" t="s">
        <v>49</v>
      </c>
      <c r="F142" t="s">
        <v>142</v>
      </c>
      <c r="G142" s="4">
        <v>6.83</v>
      </c>
      <c r="H142" s="4">
        <v>563.29999999999995</v>
      </c>
      <c r="I142" s="4">
        <v>355.6</v>
      </c>
      <c r="J142" s="4">
        <v>28.3</v>
      </c>
      <c r="K142" s="4">
        <v>30.15</v>
      </c>
      <c r="L142" s="4">
        <v>10.63</v>
      </c>
      <c r="M142" s="4">
        <v>34.43</v>
      </c>
      <c r="N142" s="4">
        <v>5.77</v>
      </c>
      <c r="O142" s="4">
        <v>124.38</v>
      </c>
      <c r="P142" s="4">
        <v>41.43</v>
      </c>
      <c r="Q142" s="4">
        <v>29.52</v>
      </c>
      <c r="R142" s="4">
        <v>19.98</v>
      </c>
      <c r="S142" s="4">
        <v>0.3</v>
      </c>
      <c r="T142" s="4">
        <v>-3.78</v>
      </c>
      <c r="U142" s="4">
        <v>-21.09</v>
      </c>
      <c r="V142" s="4">
        <v>0.27700000000000002</v>
      </c>
      <c r="W142" s="4">
        <v>45.1</v>
      </c>
      <c r="X142" s="4">
        <v>-0.61</v>
      </c>
      <c r="Y142" s="4">
        <v>-0.62</v>
      </c>
      <c r="Z142" s="4">
        <v>-1.1000000000000001</v>
      </c>
      <c r="AA142" s="4">
        <v>-5.31</v>
      </c>
      <c r="AB142" s="4">
        <f t="shared" si="10"/>
        <v>4.0245339137606138</v>
      </c>
      <c r="AC142" s="4">
        <f t="shared" si="11"/>
        <v>4.1597107085059282</v>
      </c>
      <c r="AD142" s="4">
        <f t="shared" si="12"/>
        <v>-1.651670996948752</v>
      </c>
      <c r="AE142" s="4">
        <f t="shared" si="13"/>
        <v>1.3731211869217244</v>
      </c>
      <c r="AF142">
        <f t="shared" si="14"/>
        <v>40.880527199210164</v>
      </c>
      <c r="AG142" t="s">
        <v>492</v>
      </c>
      <c r="AH142" t="s">
        <v>48</v>
      </c>
      <c r="AI142" t="s">
        <v>487</v>
      </c>
      <c r="AJ142" t="s">
        <v>488</v>
      </c>
    </row>
    <row r="143" spans="1:36" x14ac:dyDescent="0.3">
      <c r="A143" t="s">
        <v>684</v>
      </c>
      <c r="B143" t="s">
        <v>250</v>
      </c>
      <c r="C143" t="s">
        <v>490</v>
      </c>
      <c r="D143" s="9" t="s">
        <v>655</v>
      </c>
      <c r="E143" t="s">
        <v>49</v>
      </c>
      <c r="F143" t="s">
        <v>142</v>
      </c>
      <c r="G143" s="4">
        <v>6.53</v>
      </c>
      <c r="H143" s="4">
        <v>853.7</v>
      </c>
      <c r="I143" s="4">
        <v>529.29999999999995</v>
      </c>
      <c r="J143" s="4">
        <v>29.7</v>
      </c>
      <c r="K143" s="4">
        <v>51.95</v>
      </c>
      <c r="L143" s="4">
        <v>17.940000000000001</v>
      </c>
      <c r="M143" s="4">
        <v>54.51</v>
      </c>
      <c r="N143" s="4">
        <v>6.01</v>
      </c>
      <c r="O143" s="4">
        <v>168.31</v>
      </c>
      <c r="P143" s="4">
        <v>83.62</v>
      </c>
      <c r="Q143" s="4">
        <v>52.75</v>
      </c>
      <c r="R143" s="4">
        <v>35.229999999999997</v>
      </c>
      <c r="S143" s="4">
        <v>0.37</v>
      </c>
      <c r="T143" s="4">
        <v>-3.45</v>
      </c>
      <c r="U143" s="4">
        <v>-22.42</v>
      </c>
      <c r="V143" s="4">
        <v>0.17599999999999999</v>
      </c>
      <c r="W143" s="4">
        <v>50.9</v>
      </c>
      <c r="X143" s="4">
        <v>-0.28000000000000003</v>
      </c>
      <c r="Y143" s="4">
        <v>-0.45</v>
      </c>
      <c r="Z143" s="4">
        <v>-0.94</v>
      </c>
      <c r="AA143" s="4">
        <v>-4.78</v>
      </c>
      <c r="AB143" s="4">
        <f t="shared" si="10"/>
        <v>6.5935345129157001</v>
      </c>
      <c r="AC143" s="4">
        <f t="shared" si="11"/>
        <v>6.8030009796875435</v>
      </c>
      <c r="AD143" s="4">
        <f t="shared" si="12"/>
        <v>-1.5635868459236946</v>
      </c>
      <c r="AE143" s="4">
        <f t="shared" si="13"/>
        <v>1.6624328380532594</v>
      </c>
      <c r="AF143">
        <f t="shared" si="14"/>
        <v>38.292820312033648</v>
      </c>
      <c r="AG143" t="s">
        <v>608</v>
      </c>
      <c r="AH143" t="s">
        <v>48</v>
      </c>
      <c r="AI143" t="s">
        <v>487</v>
      </c>
      <c r="AJ143" t="s">
        <v>488</v>
      </c>
    </row>
    <row r="144" spans="1:36" x14ac:dyDescent="0.3">
      <c r="A144" t="s">
        <v>685</v>
      </c>
      <c r="B144" t="s">
        <v>252</v>
      </c>
      <c r="C144" t="s">
        <v>484</v>
      </c>
      <c r="D144" s="9" t="s">
        <v>548</v>
      </c>
      <c r="E144" t="s">
        <v>49</v>
      </c>
      <c r="F144" t="s">
        <v>75</v>
      </c>
      <c r="G144" s="4">
        <v>6.98</v>
      </c>
      <c r="H144" s="4">
        <v>647.5</v>
      </c>
      <c r="I144" s="4">
        <v>403.6</v>
      </c>
      <c r="J144" s="4">
        <v>28.5</v>
      </c>
      <c r="K144" s="4">
        <v>32.96</v>
      </c>
      <c r="L144" s="4">
        <v>12.56</v>
      </c>
      <c r="M144" s="4">
        <v>46.24</v>
      </c>
      <c r="N144" s="4">
        <v>3.87</v>
      </c>
      <c r="O144" s="4">
        <v>133.91</v>
      </c>
      <c r="P144" s="4">
        <v>41.11</v>
      </c>
      <c r="Q144" s="4">
        <v>42.56</v>
      </c>
      <c r="R144" s="4">
        <v>43.49</v>
      </c>
      <c r="S144" s="4">
        <v>0.61</v>
      </c>
      <c r="T144" s="4">
        <v>-3.35</v>
      </c>
      <c r="U144" s="4">
        <v>-23.17</v>
      </c>
      <c r="V144" s="4">
        <v>0.26800000000000002</v>
      </c>
      <c r="W144" s="4">
        <v>32</v>
      </c>
      <c r="X144" s="4">
        <v>-0.79</v>
      </c>
      <c r="Y144" s="4">
        <v>-1.44</v>
      </c>
      <c r="Z144" s="4">
        <v>-1.05</v>
      </c>
      <c r="AA144" s="4">
        <v>-4.91</v>
      </c>
      <c r="AB144" s="4">
        <f t="shared" si="10"/>
        <v>4.7887036494328337</v>
      </c>
      <c r="AC144" s="4">
        <f t="shared" si="11"/>
        <v>4.9738512851409302</v>
      </c>
      <c r="AD144" s="4">
        <f t="shared" si="12"/>
        <v>-1.896508003784976</v>
      </c>
      <c r="AE144" s="4">
        <f t="shared" si="13"/>
        <v>1.738125445902003</v>
      </c>
      <c r="AF144">
        <f t="shared" si="14"/>
        <v>44.069939478027941</v>
      </c>
      <c r="AG144" t="s">
        <v>521</v>
      </c>
      <c r="AH144" t="s">
        <v>500</v>
      </c>
      <c r="AI144" t="s">
        <v>487</v>
      </c>
      <c r="AJ144" t="s">
        <v>488</v>
      </c>
    </row>
    <row r="145" spans="1:36" x14ac:dyDescent="0.3">
      <c r="A145" t="s">
        <v>686</v>
      </c>
      <c r="B145" t="s">
        <v>252</v>
      </c>
      <c r="C145" t="s">
        <v>490</v>
      </c>
      <c r="D145" s="9" t="s">
        <v>529</v>
      </c>
      <c r="E145" t="s">
        <v>49</v>
      </c>
      <c r="F145" t="s">
        <v>75</v>
      </c>
      <c r="G145" s="4">
        <v>7.22</v>
      </c>
      <c r="H145" s="4">
        <v>907.3</v>
      </c>
      <c r="I145" s="4">
        <v>615.1</v>
      </c>
      <c r="J145" s="4">
        <v>29</v>
      </c>
      <c r="K145" s="4">
        <v>57.23</v>
      </c>
      <c r="L145" s="4">
        <v>18.84</v>
      </c>
      <c r="M145" s="4">
        <v>70.92</v>
      </c>
      <c r="N145" s="4">
        <v>6.8</v>
      </c>
      <c r="O145" s="4">
        <v>220.81</v>
      </c>
      <c r="P145" s="4">
        <v>89.1</v>
      </c>
      <c r="Q145" s="4">
        <v>60.24</v>
      </c>
      <c r="R145" s="4">
        <v>44.95</v>
      </c>
      <c r="S145" s="4">
        <v>1.18</v>
      </c>
      <c r="T145" s="4">
        <v>-3.74</v>
      </c>
      <c r="U145" s="4">
        <v>-22.58</v>
      </c>
      <c r="V145" s="4">
        <v>0.23200000000000001</v>
      </c>
      <c r="W145" s="4">
        <v>43.9</v>
      </c>
      <c r="X145" s="4">
        <v>-0.74</v>
      </c>
      <c r="Y145" s="4">
        <v>-0.7</v>
      </c>
      <c r="Z145" s="4">
        <v>-0.69</v>
      </c>
      <c r="AA145" s="4">
        <v>-4.45</v>
      </c>
      <c r="AB145" s="4">
        <f t="shared" si="10"/>
        <v>7.6651048404469631</v>
      </c>
      <c r="AC145" s="4">
        <f t="shared" si="11"/>
        <v>8.1733439438932027</v>
      </c>
      <c r="AD145" s="4">
        <f t="shared" si="12"/>
        <v>-3.2088944464608633</v>
      </c>
      <c r="AE145" s="4">
        <f t="shared" si="13"/>
        <v>2.0784046292416738</v>
      </c>
      <c r="AF145">
        <f t="shared" si="14"/>
        <v>42.515734371183804</v>
      </c>
      <c r="AG145" t="s">
        <v>492</v>
      </c>
      <c r="AH145" t="s">
        <v>48</v>
      </c>
      <c r="AI145" t="s">
        <v>487</v>
      </c>
      <c r="AJ145" t="s">
        <v>488</v>
      </c>
    </row>
    <row r="146" spans="1:36" x14ac:dyDescent="0.3">
      <c r="A146" t="s">
        <v>687</v>
      </c>
      <c r="B146" t="s">
        <v>254</v>
      </c>
      <c r="C146" t="s">
        <v>484</v>
      </c>
      <c r="D146" s="9" t="s">
        <v>520</v>
      </c>
      <c r="E146" t="s">
        <v>49</v>
      </c>
      <c r="F146" t="s">
        <v>75</v>
      </c>
      <c r="G146" s="4">
        <v>7.21</v>
      </c>
      <c r="H146" s="4">
        <v>499.1</v>
      </c>
      <c r="I146" s="4">
        <v>340.2</v>
      </c>
      <c r="J146" s="4">
        <v>27.4</v>
      </c>
      <c r="K146" s="4">
        <v>28.26</v>
      </c>
      <c r="L146" s="4">
        <v>12.93</v>
      </c>
      <c r="M146" s="4">
        <v>38.630000000000003</v>
      </c>
      <c r="N146" s="4">
        <v>5.46</v>
      </c>
      <c r="O146" s="4">
        <v>114.77</v>
      </c>
      <c r="P146" s="4">
        <v>39.1</v>
      </c>
      <c r="Q146" s="4">
        <v>35.51</v>
      </c>
      <c r="R146" s="4">
        <v>17.86</v>
      </c>
      <c r="S146" s="4">
        <v>0.63</v>
      </c>
      <c r="T146" s="4">
        <v>-4.21</v>
      </c>
      <c r="U146" s="4">
        <v>-28.23</v>
      </c>
      <c r="V146" s="4">
        <v>0.247</v>
      </c>
      <c r="W146" s="4">
        <v>51.6</v>
      </c>
      <c r="X146" s="4">
        <v>-0.05</v>
      </c>
      <c r="Y146" s="4">
        <v>-0.76</v>
      </c>
      <c r="Z146" s="4">
        <v>-1.22</v>
      </c>
      <c r="AA146" s="4">
        <v>-4.75</v>
      </c>
      <c r="AB146" s="4">
        <f t="shared" si="10"/>
        <v>4.2942465766800026</v>
      </c>
      <c r="AC146" s="4">
        <f t="shared" si="11"/>
        <v>4.0443833467013777</v>
      </c>
      <c r="AD146" s="4">
        <f t="shared" si="12"/>
        <v>2.996454240978037</v>
      </c>
      <c r="AE146" s="4">
        <f t="shared" si="13"/>
        <v>1.5107747328861243</v>
      </c>
      <c r="AF146">
        <f t="shared" si="14"/>
        <v>42.382707338295695</v>
      </c>
      <c r="AG146" t="s">
        <v>521</v>
      </c>
      <c r="AH146" t="s">
        <v>500</v>
      </c>
      <c r="AI146" t="s">
        <v>487</v>
      </c>
      <c r="AJ146" t="s">
        <v>488</v>
      </c>
    </row>
    <row r="147" spans="1:36" x14ac:dyDescent="0.3">
      <c r="A147" t="s">
        <v>688</v>
      </c>
      <c r="B147" t="s">
        <v>254</v>
      </c>
      <c r="C147" t="s">
        <v>490</v>
      </c>
      <c r="D147" s="9" t="s">
        <v>541</v>
      </c>
      <c r="E147" t="s">
        <v>49</v>
      </c>
      <c r="F147" t="s">
        <v>75</v>
      </c>
      <c r="G147" s="4">
        <v>7.1</v>
      </c>
      <c r="H147" s="4">
        <v>1006.3</v>
      </c>
      <c r="I147" s="4">
        <v>587.5</v>
      </c>
      <c r="J147" s="4">
        <v>30.6</v>
      </c>
      <c r="K147" s="4">
        <v>57.82</v>
      </c>
      <c r="L147" s="4">
        <v>20.41</v>
      </c>
      <c r="M147" s="4">
        <v>70.510000000000005</v>
      </c>
      <c r="N147" s="4">
        <v>5.57</v>
      </c>
      <c r="O147" s="4">
        <v>229.78</v>
      </c>
      <c r="P147" s="4">
        <v>78.23</v>
      </c>
      <c r="Q147" s="4">
        <v>51.47</v>
      </c>
      <c r="R147" s="4">
        <v>25.72</v>
      </c>
      <c r="S147" s="4">
        <v>0.76</v>
      </c>
      <c r="T147" s="4">
        <v>-3.4</v>
      </c>
      <c r="U147" s="4">
        <v>-21.96</v>
      </c>
      <c r="V147" s="4">
        <v>0.255</v>
      </c>
      <c r="W147" s="4">
        <v>37.5</v>
      </c>
      <c r="X147" s="4">
        <v>0</v>
      </c>
      <c r="Y147" s="4">
        <v>-0.67</v>
      </c>
      <c r="Z147" s="4">
        <v>-0.68</v>
      </c>
      <c r="AA147" s="4">
        <v>-5.4</v>
      </c>
      <c r="AB147" s="4">
        <f t="shared" si="10"/>
        <v>7.7744449255358816</v>
      </c>
      <c r="AC147" s="4">
        <f t="shared" si="11"/>
        <v>7.4989128739816744</v>
      </c>
      <c r="AD147" s="4">
        <f t="shared" si="12"/>
        <v>1.8040044315789587</v>
      </c>
      <c r="AE147" s="4">
        <f t="shared" si="13"/>
        <v>2.0301668970125264</v>
      </c>
      <c r="AF147">
        <f t="shared" si="14"/>
        <v>41.283739453228321</v>
      </c>
      <c r="AG147" t="s">
        <v>492</v>
      </c>
      <c r="AH147" t="s">
        <v>48</v>
      </c>
      <c r="AI147" t="s">
        <v>487</v>
      </c>
      <c r="AJ147" t="s">
        <v>488</v>
      </c>
    </row>
    <row r="148" spans="1:36" x14ac:dyDescent="0.3">
      <c r="A148" t="s">
        <v>689</v>
      </c>
      <c r="B148" t="s">
        <v>256</v>
      </c>
      <c r="C148" t="s">
        <v>484</v>
      </c>
      <c r="D148" s="9" t="s">
        <v>499</v>
      </c>
      <c r="E148" t="s">
        <v>49</v>
      </c>
      <c r="F148" t="s">
        <v>75</v>
      </c>
      <c r="G148" s="4">
        <v>7.11</v>
      </c>
      <c r="H148" s="4">
        <v>510.6</v>
      </c>
      <c r="I148" s="4">
        <v>344.3</v>
      </c>
      <c r="J148" s="4">
        <v>28.5</v>
      </c>
      <c r="K148" s="4">
        <v>27.14</v>
      </c>
      <c r="L148" s="4">
        <v>11.96</v>
      </c>
      <c r="M148" s="4">
        <v>36.409999999999997</v>
      </c>
      <c r="N148" s="4">
        <v>3.19</v>
      </c>
      <c r="O148" s="4">
        <v>126.72</v>
      </c>
      <c r="P148" s="4">
        <v>36.03</v>
      </c>
      <c r="Q148" s="4">
        <v>43.58</v>
      </c>
      <c r="R148" s="4">
        <v>6.67</v>
      </c>
      <c r="S148" s="4">
        <v>0.27</v>
      </c>
      <c r="T148" s="4">
        <v>-4.41</v>
      </c>
      <c r="U148" s="4">
        <v>-27.75</v>
      </c>
      <c r="V148" s="4">
        <v>0.223</v>
      </c>
      <c r="W148" s="4">
        <v>46.6</v>
      </c>
      <c r="X148" s="4">
        <v>-0.34</v>
      </c>
      <c r="Y148" s="4">
        <v>-1.07</v>
      </c>
      <c r="Z148" s="4">
        <v>-1.05</v>
      </c>
      <c r="AA148" s="4">
        <v>-4.68</v>
      </c>
      <c r="AB148" s="4">
        <f t="shared" si="10"/>
        <v>4.0039094373075717</v>
      </c>
      <c r="AC148" s="4">
        <f t="shared" si="11"/>
        <v>4.1222411136741881</v>
      </c>
      <c r="AD148" s="4">
        <f t="shared" si="12"/>
        <v>-1.456183658230652</v>
      </c>
      <c r="AE148" s="4">
        <f t="shared" si="13"/>
        <v>1.4646881863403376</v>
      </c>
      <c r="AF148">
        <f t="shared" si="14"/>
        <v>41.594117586804977</v>
      </c>
      <c r="AG148" t="s">
        <v>492</v>
      </c>
      <c r="AH148" t="s">
        <v>500</v>
      </c>
      <c r="AI148" t="s">
        <v>487</v>
      </c>
      <c r="AJ148" t="s">
        <v>488</v>
      </c>
    </row>
    <row r="149" spans="1:36" x14ac:dyDescent="0.3">
      <c r="A149" t="s">
        <v>690</v>
      </c>
      <c r="B149" t="s">
        <v>256</v>
      </c>
      <c r="C149" t="s">
        <v>490</v>
      </c>
      <c r="D149" s="9" t="s">
        <v>510</v>
      </c>
      <c r="E149" t="s">
        <v>49</v>
      </c>
      <c r="F149" t="s">
        <v>75</v>
      </c>
      <c r="G149" s="4">
        <v>7.08</v>
      </c>
      <c r="H149" s="4">
        <v>871.5</v>
      </c>
      <c r="I149" s="4">
        <v>515.29999999999995</v>
      </c>
      <c r="J149" s="4">
        <v>30.3</v>
      </c>
      <c r="K149" s="4">
        <v>38.79</v>
      </c>
      <c r="L149" s="4">
        <v>22.05</v>
      </c>
      <c r="M149" s="4">
        <v>61.02</v>
      </c>
      <c r="N149" s="4">
        <v>6.87</v>
      </c>
      <c r="O149" s="4">
        <v>186.69</v>
      </c>
      <c r="P149" s="4">
        <v>80.47</v>
      </c>
      <c r="Q149" s="4">
        <v>63.14</v>
      </c>
      <c r="R149" s="4">
        <v>9.07</v>
      </c>
      <c r="S149" s="4">
        <v>0.54</v>
      </c>
      <c r="T149" s="4">
        <v>-3.34</v>
      </c>
      <c r="U149" s="4">
        <v>-21.67</v>
      </c>
      <c r="V149" s="4">
        <v>0.29199999999999998</v>
      </c>
      <c r="W149" s="4">
        <v>37.5</v>
      </c>
      <c r="X149" s="4">
        <v>0.04</v>
      </c>
      <c r="Y149" s="4">
        <v>-0.54</v>
      </c>
      <c r="Z149" s="4">
        <v>-0.79</v>
      </c>
      <c r="AA149" s="4">
        <v>-5.22</v>
      </c>
      <c r="AB149" s="4">
        <f t="shared" si="10"/>
        <v>6.5801920534657619</v>
      </c>
      <c r="AC149" s="4">
        <f t="shared" si="11"/>
        <v>6.8187527182401233</v>
      </c>
      <c r="AD149" s="4">
        <f t="shared" si="12"/>
        <v>-1.7804436755207933</v>
      </c>
      <c r="AE149" s="4">
        <f t="shared" si="13"/>
        <v>1.9383929786555194</v>
      </c>
      <c r="AF149">
        <f t="shared" si="14"/>
        <v>43.008246901116756</v>
      </c>
      <c r="AG149" t="s">
        <v>521</v>
      </c>
      <c r="AH149" t="s">
        <v>48</v>
      </c>
      <c r="AI149" t="s">
        <v>487</v>
      </c>
      <c r="AJ149" t="s">
        <v>488</v>
      </c>
    </row>
    <row r="150" spans="1:36" x14ac:dyDescent="0.3">
      <c r="A150" t="s">
        <v>691</v>
      </c>
      <c r="B150" t="s">
        <v>258</v>
      </c>
      <c r="C150" t="s">
        <v>484</v>
      </c>
      <c r="D150" s="9" t="s">
        <v>524</v>
      </c>
      <c r="E150" t="s">
        <v>49</v>
      </c>
      <c r="F150" t="s">
        <v>101</v>
      </c>
      <c r="G150" s="4">
        <v>6.91</v>
      </c>
      <c r="H150" s="4">
        <v>549.6</v>
      </c>
      <c r="I150" s="4">
        <v>395.2</v>
      </c>
      <c r="J150" s="4">
        <v>28.9</v>
      </c>
      <c r="K150" s="4">
        <v>27.67</v>
      </c>
      <c r="L150" s="4">
        <v>14.61</v>
      </c>
      <c r="M150" s="4">
        <v>40.53</v>
      </c>
      <c r="N150" s="4">
        <v>3.76</v>
      </c>
      <c r="O150" s="4">
        <v>138.72999999999999</v>
      </c>
      <c r="P150" s="4">
        <v>43.22</v>
      </c>
      <c r="Q150" s="4">
        <v>26.83</v>
      </c>
      <c r="R150" s="4">
        <v>27.76</v>
      </c>
      <c r="S150" s="4">
        <v>0.37</v>
      </c>
      <c r="T150" s="4">
        <v>-4.53</v>
      </c>
      <c r="U150" s="4">
        <v>-27.29</v>
      </c>
      <c r="V150" s="4">
        <v>0.17100000000000001</v>
      </c>
      <c r="W150" s="4">
        <v>61.7</v>
      </c>
      <c r="X150" s="4">
        <v>-7.0000000000000007E-2</v>
      </c>
      <c r="Y150" s="4">
        <v>-0.25</v>
      </c>
      <c r="Z150" s="4">
        <v>-1.26</v>
      </c>
      <c r="AA150" s="4">
        <v>-4.62</v>
      </c>
      <c r="AB150" s="4">
        <f t="shared" si="10"/>
        <v>4.4422148876961316</v>
      </c>
      <c r="AC150" s="4">
        <f t="shared" si="11"/>
        <v>4.5185361931428769</v>
      </c>
      <c r="AD150" s="4">
        <f t="shared" si="12"/>
        <v>-0.85172888698967453</v>
      </c>
      <c r="AE150" s="4">
        <f t="shared" si="13"/>
        <v>1.5513395487726367</v>
      </c>
      <c r="AF150">
        <f t="shared" si="14"/>
        <v>41.852673589845416</v>
      </c>
      <c r="AG150" t="s">
        <v>521</v>
      </c>
      <c r="AH150" t="s">
        <v>48</v>
      </c>
      <c r="AI150" t="s">
        <v>487</v>
      </c>
      <c r="AJ150" t="s">
        <v>488</v>
      </c>
    </row>
    <row r="151" spans="1:36" x14ac:dyDescent="0.3">
      <c r="A151" t="s">
        <v>692</v>
      </c>
      <c r="B151" t="s">
        <v>258</v>
      </c>
      <c r="C151" t="s">
        <v>490</v>
      </c>
      <c r="D151" s="9" t="s">
        <v>496</v>
      </c>
      <c r="E151" t="s">
        <v>49</v>
      </c>
      <c r="F151" t="s">
        <v>101</v>
      </c>
      <c r="G151" s="4">
        <v>7.33</v>
      </c>
      <c r="H151" s="4">
        <v>764.4</v>
      </c>
      <c r="I151" s="4">
        <v>463.8</v>
      </c>
      <c r="J151" s="4">
        <v>30</v>
      </c>
      <c r="K151" s="4">
        <v>46.6</v>
      </c>
      <c r="L151" s="4">
        <v>14.6</v>
      </c>
      <c r="M151" s="4">
        <v>42.33</v>
      </c>
      <c r="N151" s="4">
        <v>6.51</v>
      </c>
      <c r="O151" s="4">
        <v>146.63999999999999</v>
      </c>
      <c r="P151" s="4">
        <v>72.069999999999993</v>
      </c>
      <c r="Q151" s="4">
        <v>30.28</v>
      </c>
      <c r="R151" s="4">
        <v>31.44</v>
      </c>
      <c r="S151" s="4">
        <v>0.32</v>
      </c>
      <c r="T151" s="4">
        <v>-3.1</v>
      </c>
      <c r="U151" s="4">
        <v>-16.55</v>
      </c>
      <c r="V151" s="4">
        <v>0.24</v>
      </c>
      <c r="W151" s="4">
        <v>66.900000000000006</v>
      </c>
      <c r="X151" s="4">
        <v>-0.34</v>
      </c>
      <c r="Y151" s="4">
        <v>-0.45</v>
      </c>
      <c r="Z151" s="4">
        <v>-1.31</v>
      </c>
      <c r="AA151" s="4">
        <v>-5.28</v>
      </c>
      <c r="AB151" s="4">
        <f t="shared" si="10"/>
        <v>5.5346843239643979</v>
      </c>
      <c r="AC151" s="4">
        <f t="shared" si="11"/>
        <v>5.5904761392002076</v>
      </c>
      <c r="AD151" s="4">
        <f t="shared" si="12"/>
        <v>-0.50149222944276906</v>
      </c>
      <c r="AE151" s="4">
        <f t="shared" si="13"/>
        <v>1.3865923991904108</v>
      </c>
      <c r="AF151">
        <f t="shared" si="14"/>
        <v>36.277048061646283</v>
      </c>
      <c r="AG151" t="s">
        <v>608</v>
      </c>
      <c r="AH151" t="s">
        <v>48</v>
      </c>
      <c r="AI151" t="s">
        <v>487</v>
      </c>
      <c r="AJ151" t="s">
        <v>488</v>
      </c>
    </row>
    <row r="152" spans="1:36" x14ac:dyDescent="0.3">
      <c r="A152" t="s">
        <v>693</v>
      </c>
      <c r="B152" t="s">
        <v>260</v>
      </c>
      <c r="C152" t="s">
        <v>484</v>
      </c>
      <c r="D152" s="9" t="s">
        <v>508</v>
      </c>
      <c r="E152" t="s">
        <v>49</v>
      </c>
      <c r="F152" t="s">
        <v>75</v>
      </c>
      <c r="G152" s="4">
        <v>7.08</v>
      </c>
      <c r="H152" s="4">
        <v>592.20000000000005</v>
      </c>
      <c r="I152" s="4">
        <v>402</v>
      </c>
      <c r="J152" s="4">
        <v>30.2</v>
      </c>
      <c r="K152" s="4">
        <v>29.34</v>
      </c>
      <c r="L152" s="4">
        <v>11.67</v>
      </c>
      <c r="M152" s="4">
        <v>46.53</v>
      </c>
      <c r="N152" s="4">
        <v>3.29</v>
      </c>
      <c r="O152" s="4">
        <v>144.16999999999999</v>
      </c>
      <c r="P152" s="4">
        <v>45.61</v>
      </c>
      <c r="Q152" s="4">
        <v>37.54</v>
      </c>
      <c r="R152" s="4">
        <v>10.26</v>
      </c>
      <c r="S152" s="4">
        <v>0.52</v>
      </c>
      <c r="T152" s="4">
        <v>-3.65</v>
      </c>
      <c r="U152" s="4">
        <v>-23.94</v>
      </c>
      <c r="V152" s="4">
        <v>0.186</v>
      </c>
      <c r="W152" s="4">
        <v>62.7</v>
      </c>
      <c r="X152" s="4">
        <v>-0.48</v>
      </c>
      <c r="Y152" s="4">
        <v>-1.26</v>
      </c>
      <c r="Z152" s="4">
        <v>-1.47</v>
      </c>
      <c r="AA152" s="4">
        <v>-5.21</v>
      </c>
      <c r="AB152" s="4">
        <f t="shared" si="10"/>
        <v>4.5326001632343793</v>
      </c>
      <c r="AC152" s="4">
        <f t="shared" si="11"/>
        <v>4.6237517736648206</v>
      </c>
      <c r="AD152" s="4">
        <f t="shared" si="12"/>
        <v>-0.99550138590795367</v>
      </c>
      <c r="AE152" s="4">
        <f t="shared" si="13"/>
        <v>1.8383243783988519</v>
      </c>
      <c r="AF152">
        <f t="shared" si="14"/>
        <v>46.511029752433885</v>
      </c>
      <c r="AG152" t="s">
        <v>521</v>
      </c>
      <c r="AH152" t="s">
        <v>500</v>
      </c>
      <c r="AI152" t="s">
        <v>487</v>
      </c>
      <c r="AJ152" t="s">
        <v>488</v>
      </c>
    </row>
    <row r="153" spans="1:36" x14ac:dyDescent="0.3">
      <c r="A153" t="s">
        <v>694</v>
      </c>
      <c r="B153" t="s">
        <v>260</v>
      </c>
      <c r="C153" t="s">
        <v>490</v>
      </c>
      <c r="D153" s="9" t="s">
        <v>655</v>
      </c>
      <c r="E153" t="s">
        <v>49</v>
      </c>
      <c r="F153" t="s">
        <v>75</v>
      </c>
      <c r="G153" s="4">
        <v>6.91</v>
      </c>
      <c r="H153" s="4">
        <v>843.4</v>
      </c>
      <c r="I153" s="4">
        <v>524.5</v>
      </c>
      <c r="J153" s="4">
        <v>29.8</v>
      </c>
      <c r="K153" s="4">
        <v>54.19</v>
      </c>
      <c r="L153" s="4">
        <v>19.739999999999998</v>
      </c>
      <c r="M153" s="4">
        <v>60.3</v>
      </c>
      <c r="N153" s="4">
        <v>7.72</v>
      </c>
      <c r="O153" s="4">
        <v>184.17</v>
      </c>
      <c r="P153" s="4">
        <v>78.53</v>
      </c>
      <c r="Q153" s="4">
        <v>67.540000000000006</v>
      </c>
      <c r="R153" s="4">
        <v>27.73</v>
      </c>
      <c r="S153" s="4">
        <v>0.74</v>
      </c>
      <c r="T153" s="4">
        <v>-3.72</v>
      </c>
      <c r="U153" s="4">
        <v>-22.39</v>
      </c>
      <c r="V153" s="4">
        <v>0.27200000000000002</v>
      </c>
      <c r="W153" s="4">
        <v>21.8</v>
      </c>
      <c r="X153" s="4">
        <v>-0.42</v>
      </c>
      <c r="Y153" s="4">
        <v>-0.55000000000000004</v>
      </c>
      <c r="Z153" s="4">
        <v>-0.85</v>
      </c>
      <c r="AA153" s="4">
        <v>-4.57</v>
      </c>
      <c r="AB153" s="4">
        <f t="shared" si="10"/>
        <v>7.1490300467405632</v>
      </c>
      <c r="AC153" s="4">
        <f t="shared" si="11"/>
        <v>7.1258125342016578</v>
      </c>
      <c r="AD153" s="4">
        <f t="shared" si="12"/>
        <v>0.16264636480056283</v>
      </c>
      <c r="AE153" s="4">
        <f t="shared" si="13"/>
        <v>1.7829506004809081</v>
      </c>
      <c r="AF153">
        <f t="shared" si="14"/>
        <v>39.452151443136053</v>
      </c>
      <c r="AG153" t="s">
        <v>492</v>
      </c>
      <c r="AH153" t="s">
        <v>48</v>
      </c>
      <c r="AI153" t="s">
        <v>487</v>
      </c>
      <c r="AJ153" t="s">
        <v>488</v>
      </c>
    </row>
    <row r="154" spans="1:36" x14ac:dyDescent="0.3">
      <c r="A154" t="s">
        <v>695</v>
      </c>
      <c r="B154" t="s">
        <v>262</v>
      </c>
      <c r="C154" t="s">
        <v>484</v>
      </c>
      <c r="D154" s="9" t="s">
        <v>551</v>
      </c>
      <c r="E154" t="s">
        <v>49</v>
      </c>
      <c r="F154" t="s">
        <v>75</v>
      </c>
      <c r="G154" s="4">
        <v>7.01</v>
      </c>
      <c r="H154" s="4">
        <v>633.79999999999995</v>
      </c>
      <c r="I154" s="4">
        <v>365.4</v>
      </c>
      <c r="J154" s="4">
        <v>27.1</v>
      </c>
      <c r="K154" s="4">
        <v>37.799999999999997</v>
      </c>
      <c r="L154" s="4">
        <v>12.58</v>
      </c>
      <c r="M154" s="4">
        <v>37.799999999999997</v>
      </c>
      <c r="N154" s="4">
        <v>2.99</v>
      </c>
      <c r="O154" s="4">
        <v>130.76</v>
      </c>
      <c r="P154" s="4">
        <v>42.25</v>
      </c>
      <c r="Q154" s="4">
        <v>39.32</v>
      </c>
      <c r="R154" s="4">
        <v>20.97</v>
      </c>
      <c r="S154" s="4">
        <v>0.37</v>
      </c>
      <c r="T154" s="4">
        <v>-3.75</v>
      </c>
      <c r="U154" s="4">
        <v>-26.53</v>
      </c>
      <c r="V154" s="4">
        <v>0.218</v>
      </c>
      <c r="W154" s="4">
        <v>41.3</v>
      </c>
      <c r="X154" s="4">
        <v>0.06</v>
      </c>
      <c r="Y154" s="4">
        <v>-0.18</v>
      </c>
      <c r="Z154" s="4">
        <v>-1.23</v>
      </c>
      <c r="AA154" s="4">
        <v>-5.01</v>
      </c>
      <c r="AB154" s="4">
        <f t="shared" si="10"/>
        <v>4.6422387679471457</v>
      </c>
      <c r="AC154" s="4">
        <f t="shared" si="11"/>
        <v>4.5110928801232744</v>
      </c>
      <c r="AD154" s="4">
        <f t="shared" si="12"/>
        <v>1.432766700325097</v>
      </c>
      <c r="AE154" s="4">
        <f t="shared" si="13"/>
        <v>1.3604538071761856</v>
      </c>
      <c r="AF154">
        <f t="shared" si="14"/>
        <v>37.06701086048222</v>
      </c>
      <c r="AG154" t="s">
        <v>497</v>
      </c>
      <c r="AH154" t="s">
        <v>48</v>
      </c>
      <c r="AI154" t="s">
        <v>487</v>
      </c>
      <c r="AJ154" t="s">
        <v>488</v>
      </c>
    </row>
    <row r="155" spans="1:36" x14ac:dyDescent="0.3">
      <c r="A155" t="s">
        <v>696</v>
      </c>
      <c r="B155" t="s">
        <v>262</v>
      </c>
      <c r="C155" t="s">
        <v>490</v>
      </c>
      <c r="D155" s="9" t="s">
        <v>655</v>
      </c>
      <c r="E155" t="s">
        <v>49</v>
      </c>
      <c r="F155" t="s">
        <v>75</v>
      </c>
      <c r="G155" s="4">
        <v>7.51</v>
      </c>
      <c r="H155" s="4">
        <v>871.6</v>
      </c>
      <c r="I155" s="4">
        <v>539</v>
      </c>
      <c r="J155" s="4">
        <v>28.9</v>
      </c>
      <c r="K155" s="4">
        <v>52.27</v>
      </c>
      <c r="L155" s="4">
        <v>17.920000000000002</v>
      </c>
      <c r="M155" s="4">
        <v>60.44</v>
      </c>
      <c r="N155" s="4">
        <v>4.83</v>
      </c>
      <c r="O155" s="4">
        <v>181.85</v>
      </c>
      <c r="P155" s="4">
        <v>69.819999999999993</v>
      </c>
      <c r="Q155" s="4">
        <v>56.7</v>
      </c>
      <c r="R155" s="4">
        <v>35.159999999999997</v>
      </c>
      <c r="S155" s="4">
        <v>0.92</v>
      </c>
      <c r="T155" s="4">
        <v>-3.93</v>
      </c>
      <c r="U155" s="4">
        <v>-23.52</v>
      </c>
      <c r="V155" s="4">
        <v>0.27100000000000002</v>
      </c>
      <c r="W155" s="4">
        <v>44.3</v>
      </c>
      <c r="X155" s="4">
        <v>-0.53</v>
      </c>
      <c r="Y155" s="4">
        <v>-0.7</v>
      </c>
      <c r="Z155" s="4">
        <v>-0.51</v>
      </c>
      <c r="AA155" s="4">
        <v>-4.58</v>
      </c>
      <c r="AB155" s="4">
        <f t="shared" si="10"/>
        <v>6.8356265039248694</v>
      </c>
      <c r="AC155" s="4">
        <f t="shared" si="11"/>
        <v>6.7457239900194015</v>
      </c>
      <c r="AD155" s="4">
        <f t="shared" si="12"/>
        <v>0.66195562764950455</v>
      </c>
      <c r="AE155" s="4">
        <f t="shared" si="13"/>
        <v>1.8400486051132057</v>
      </c>
      <c r="AF155">
        <f t="shared" si="14"/>
        <v>40.268718658819552</v>
      </c>
      <c r="AG155" t="s">
        <v>492</v>
      </c>
      <c r="AH155" t="s">
        <v>48</v>
      </c>
      <c r="AI155" t="s">
        <v>487</v>
      </c>
      <c r="AJ155" t="s">
        <v>488</v>
      </c>
    </row>
    <row r="156" spans="1:36" x14ac:dyDescent="0.3">
      <c r="A156" t="s">
        <v>697</v>
      </c>
      <c r="B156" t="s">
        <v>264</v>
      </c>
      <c r="C156" t="s">
        <v>484</v>
      </c>
      <c r="D156" s="9" t="s">
        <v>499</v>
      </c>
      <c r="E156" t="s">
        <v>49</v>
      </c>
      <c r="F156" t="s">
        <v>75</v>
      </c>
      <c r="G156" s="4">
        <v>7.1</v>
      </c>
      <c r="H156" s="4">
        <v>752.5</v>
      </c>
      <c r="I156" s="4">
        <v>428.5</v>
      </c>
      <c r="J156" s="4">
        <v>30.2</v>
      </c>
      <c r="K156" s="4">
        <v>40.32</v>
      </c>
      <c r="L156" s="4">
        <v>12.12</v>
      </c>
      <c r="M156" s="4">
        <v>52.27</v>
      </c>
      <c r="N156" s="4">
        <v>3.38</v>
      </c>
      <c r="O156" s="4">
        <v>158.21</v>
      </c>
      <c r="P156" s="4">
        <v>49.11</v>
      </c>
      <c r="Q156" s="4">
        <v>48.87</v>
      </c>
      <c r="R156" s="4">
        <v>24.02</v>
      </c>
      <c r="S156" s="4">
        <v>0.43</v>
      </c>
      <c r="T156" s="4">
        <v>-3.79</v>
      </c>
      <c r="U156" s="4">
        <v>-23.73</v>
      </c>
      <c r="V156" s="4">
        <v>0.17699999999999999</v>
      </c>
      <c r="W156" s="4">
        <v>36.6</v>
      </c>
      <c r="X156" s="4">
        <v>0</v>
      </c>
      <c r="Y156" s="4">
        <v>-0.17</v>
      </c>
      <c r="Z156" s="4">
        <v>-1.37</v>
      </c>
      <c r="AA156" s="4">
        <v>-4.71</v>
      </c>
      <c r="AB156" s="4">
        <f t="shared" si="10"/>
        <v>5.3695476543657037</v>
      </c>
      <c r="AC156" s="4">
        <f t="shared" si="11"/>
        <v>5.4056524422425598</v>
      </c>
      <c r="AD156" s="4">
        <f t="shared" si="12"/>
        <v>-0.33507301537927736</v>
      </c>
      <c r="AE156" s="4">
        <f t="shared" si="13"/>
        <v>1.8535628115162099</v>
      </c>
      <c r="AF156">
        <f t="shared" si="14"/>
        <v>43.954271424861993</v>
      </c>
      <c r="AG156" t="s">
        <v>492</v>
      </c>
      <c r="AH156" t="s">
        <v>500</v>
      </c>
      <c r="AI156" t="s">
        <v>487</v>
      </c>
      <c r="AJ156" t="s">
        <v>488</v>
      </c>
    </row>
    <row r="157" spans="1:36" x14ac:dyDescent="0.3">
      <c r="A157" t="s">
        <v>698</v>
      </c>
      <c r="B157" t="s">
        <v>264</v>
      </c>
      <c r="C157" t="s">
        <v>490</v>
      </c>
      <c r="D157" s="9" t="s">
        <v>588</v>
      </c>
      <c r="E157" t="s">
        <v>49</v>
      </c>
      <c r="F157" t="s">
        <v>75</v>
      </c>
      <c r="G157" s="4">
        <v>7.32</v>
      </c>
      <c r="H157" s="4">
        <v>802</v>
      </c>
      <c r="I157" s="4">
        <v>535.20000000000005</v>
      </c>
      <c r="J157" s="4">
        <v>29.6</v>
      </c>
      <c r="K157" s="4">
        <v>42.48</v>
      </c>
      <c r="L157" s="4">
        <v>23.11</v>
      </c>
      <c r="M157" s="4">
        <v>59.45</v>
      </c>
      <c r="N157" s="4">
        <v>6.48</v>
      </c>
      <c r="O157" s="4">
        <v>202.8</v>
      </c>
      <c r="P157" s="4">
        <v>70.209999999999994</v>
      </c>
      <c r="Q157" s="4">
        <v>61.61</v>
      </c>
      <c r="R157" s="4">
        <v>19.71</v>
      </c>
      <c r="S157" s="4">
        <v>1.1499999999999999</v>
      </c>
      <c r="T157" s="4">
        <v>-3.62</v>
      </c>
      <c r="U157" s="4">
        <v>-25.23</v>
      </c>
      <c r="V157" s="4">
        <v>0.23</v>
      </c>
      <c r="W157" s="4">
        <v>43.8</v>
      </c>
      <c r="X157" s="4">
        <v>0.22</v>
      </c>
      <c r="Y157" s="4">
        <v>0.34</v>
      </c>
      <c r="Z157" s="4">
        <v>-0.85</v>
      </c>
      <c r="AA157" s="4">
        <v>-4.5999999999999996</v>
      </c>
      <c r="AB157" s="4">
        <f t="shared" si="10"/>
        <v>6.773289363047021</v>
      </c>
      <c r="AC157" s="4">
        <f t="shared" si="11"/>
        <v>6.9652374890129325</v>
      </c>
      <c r="AD157" s="4">
        <f t="shared" si="12"/>
        <v>-1.397152169463721</v>
      </c>
      <c r="AE157" s="4">
        <f t="shared" si="13"/>
        <v>1.8236898481409478</v>
      </c>
      <c r="AF157">
        <f t="shared" si="14"/>
        <v>40.626594125250506</v>
      </c>
      <c r="AG157" t="s">
        <v>521</v>
      </c>
      <c r="AH157" t="s">
        <v>48</v>
      </c>
      <c r="AI157" t="s">
        <v>487</v>
      </c>
      <c r="AJ157" t="s">
        <v>488</v>
      </c>
    </row>
    <row r="158" spans="1:36" x14ac:dyDescent="0.3">
      <c r="A158" t="s">
        <v>699</v>
      </c>
      <c r="B158" t="s">
        <v>266</v>
      </c>
      <c r="C158" t="s">
        <v>484</v>
      </c>
      <c r="D158" s="9" t="s">
        <v>662</v>
      </c>
      <c r="E158" t="s">
        <v>49</v>
      </c>
      <c r="F158" t="s">
        <v>101</v>
      </c>
      <c r="G158" s="4">
        <v>7.02</v>
      </c>
      <c r="H158" s="4">
        <v>576.20000000000005</v>
      </c>
      <c r="I158" s="4">
        <v>368</v>
      </c>
      <c r="J158" s="4">
        <v>29.4</v>
      </c>
      <c r="K158" s="4">
        <v>35.06</v>
      </c>
      <c r="L158" s="4">
        <v>6.79</v>
      </c>
      <c r="M158" s="4">
        <v>36.39</v>
      </c>
      <c r="N158" s="4">
        <v>4.24</v>
      </c>
      <c r="O158" s="4">
        <v>122.3</v>
      </c>
      <c r="P158" s="4">
        <v>44.73</v>
      </c>
      <c r="Q158" s="4">
        <v>27.76</v>
      </c>
      <c r="R158" s="4">
        <v>11.74</v>
      </c>
      <c r="S158" s="4">
        <v>0.53</v>
      </c>
      <c r="T158" s="4">
        <v>-4.6100000000000003</v>
      </c>
      <c r="U158" s="4">
        <v>-26.55</v>
      </c>
      <c r="V158" s="4">
        <v>0.14899999999999999</v>
      </c>
      <c r="W158" s="4">
        <v>63.6</v>
      </c>
      <c r="X158" s="4">
        <v>-0.48</v>
      </c>
      <c r="Y158" s="4">
        <v>-0.92</v>
      </c>
      <c r="Z158" s="4">
        <v>-1.1299999999999999</v>
      </c>
      <c r="AA158" s="4">
        <v>-5.32</v>
      </c>
      <c r="AB158" s="4">
        <f t="shared" si="10"/>
        <v>3.9996974856082819</v>
      </c>
      <c r="AC158" s="4">
        <f t="shared" si="11"/>
        <v>4.0612723200120024</v>
      </c>
      <c r="AD158" s="4">
        <f t="shared" si="12"/>
        <v>-0.76386385123027323</v>
      </c>
      <c r="AE158" s="4">
        <f t="shared" si="13"/>
        <v>1.4734278177164279</v>
      </c>
      <c r="AF158">
        <f t="shared" si="14"/>
        <v>42.287608446636462</v>
      </c>
      <c r="AG158" t="s">
        <v>497</v>
      </c>
      <c r="AH158" t="s">
        <v>48</v>
      </c>
      <c r="AI158" t="s">
        <v>487</v>
      </c>
      <c r="AJ158" t="s">
        <v>488</v>
      </c>
    </row>
    <row r="159" spans="1:36" x14ac:dyDescent="0.3">
      <c r="A159" t="s">
        <v>700</v>
      </c>
      <c r="B159" t="s">
        <v>266</v>
      </c>
      <c r="C159" t="s">
        <v>490</v>
      </c>
      <c r="D159" s="9" t="s">
        <v>491</v>
      </c>
      <c r="E159" t="s">
        <v>49</v>
      </c>
      <c r="F159" t="s">
        <v>101</v>
      </c>
      <c r="G159" s="4">
        <v>7.34</v>
      </c>
      <c r="H159" s="4">
        <v>618.1</v>
      </c>
      <c r="I159" s="4">
        <v>431.7</v>
      </c>
      <c r="J159" s="4">
        <v>30.1</v>
      </c>
      <c r="K159" s="4">
        <v>40.53</v>
      </c>
      <c r="L159" s="4">
        <v>15.26</v>
      </c>
      <c r="M159" s="4">
        <v>41.84</v>
      </c>
      <c r="N159" s="4">
        <v>5.89</v>
      </c>
      <c r="O159" s="4">
        <v>145.77000000000001</v>
      </c>
      <c r="P159" s="4">
        <v>66.95</v>
      </c>
      <c r="Q159" s="4">
        <v>34.79</v>
      </c>
      <c r="R159" s="4">
        <v>13.98</v>
      </c>
      <c r="S159" s="4">
        <v>1</v>
      </c>
      <c r="T159" s="4">
        <v>-2.99</v>
      </c>
      <c r="U159" s="4">
        <v>-18.05</v>
      </c>
      <c r="V159" s="4">
        <v>0.22800000000000001</v>
      </c>
      <c r="W159" s="4">
        <v>59.1</v>
      </c>
      <c r="X159" s="4">
        <v>-0.16</v>
      </c>
      <c r="Y159" s="4">
        <v>-0.23</v>
      </c>
      <c r="Z159" s="4">
        <v>-1.35</v>
      </c>
      <c r="AA159" s="4">
        <v>-5.0999999999999996</v>
      </c>
      <c r="AB159" s="4">
        <f t="shared" si="10"/>
        <v>5.2489126795865921</v>
      </c>
      <c r="AC159" s="4">
        <f t="shared" si="11"/>
        <v>5.2799032715437946</v>
      </c>
      <c r="AD159" s="4">
        <f t="shared" si="12"/>
        <v>-0.29434071315374499</v>
      </c>
      <c r="AE159" s="4">
        <f t="shared" si="13"/>
        <v>1.4215579995415581</v>
      </c>
      <c r="AF159">
        <f t="shared" si="14"/>
        <v>37.543927327428229</v>
      </c>
      <c r="AG159" t="s">
        <v>497</v>
      </c>
      <c r="AH159" t="s">
        <v>48</v>
      </c>
      <c r="AI159" t="s">
        <v>487</v>
      </c>
      <c r="AJ159" t="s">
        <v>488</v>
      </c>
    </row>
    <row r="160" spans="1:36" x14ac:dyDescent="0.3">
      <c r="A160" t="s">
        <v>701</v>
      </c>
      <c r="B160" t="s">
        <v>268</v>
      </c>
      <c r="C160" t="s">
        <v>484</v>
      </c>
      <c r="D160" s="9" t="s">
        <v>508</v>
      </c>
      <c r="E160" t="s">
        <v>49</v>
      </c>
      <c r="F160" t="s">
        <v>75</v>
      </c>
      <c r="G160" s="4">
        <v>7.01</v>
      </c>
      <c r="H160" s="4">
        <v>645.20000000000005</v>
      </c>
      <c r="I160" s="4">
        <v>425.4</v>
      </c>
      <c r="J160" s="4">
        <v>28.4</v>
      </c>
      <c r="K160" s="4">
        <v>36.340000000000003</v>
      </c>
      <c r="L160" s="4">
        <v>15.77</v>
      </c>
      <c r="M160" s="4">
        <v>42.76</v>
      </c>
      <c r="N160" s="4">
        <v>3.83</v>
      </c>
      <c r="O160" s="4">
        <v>133.41</v>
      </c>
      <c r="P160" s="4">
        <v>54.09</v>
      </c>
      <c r="Q160" s="4">
        <v>37.4</v>
      </c>
      <c r="R160" s="4">
        <v>43.3</v>
      </c>
      <c r="S160" s="4">
        <v>0.6</v>
      </c>
      <c r="T160" s="4">
        <v>-3.9</v>
      </c>
      <c r="U160" s="4">
        <v>-23.89</v>
      </c>
      <c r="V160" s="4">
        <v>0.248</v>
      </c>
      <c r="W160" s="4">
        <v>51.8</v>
      </c>
      <c r="X160" s="4">
        <v>-0.25</v>
      </c>
      <c r="Y160" s="4">
        <v>-0.06</v>
      </c>
      <c r="Z160" s="4">
        <v>-0.7</v>
      </c>
      <c r="AA160" s="4">
        <v>-4.96</v>
      </c>
      <c r="AB160" s="4">
        <f t="shared" si="10"/>
        <v>5.0691181055864654</v>
      </c>
      <c r="AC160" s="4">
        <f t="shared" si="11"/>
        <v>5.2207517367250071</v>
      </c>
      <c r="AD160" s="4">
        <f t="shared" si="12"/>
        <v>-1.4736204972684033</v>
      </c>
      <c r="AE160" s="4">
        <f t="shared" si="13"/>
        <v>1.4913270598600561</v>
      </c>
      <c r="AF160">
        <f t="shared" si="14"/>
        <v>38.625633565247021</v>
      </c>
      <c r="AG160" t="s">
        <v>492</v>
      </c>
      <c r="AH160" t="s">
        <v>48</v>
      </c>
      <c r="AI160" t="s">
        <v>487</v>
      </c>
      <c r="AJ160" t="s">
        <v>488</v>
      </c>
    </row>
    <row r="161" spans="1:36" x14ac:dyDescent="0.3">
      <c r="A161" t="s">
        <v>702</v>
      </c>
      <c r="B161" t="s">
        <v>268</v>
      </c>
      <c r="C161" t="s">
        <v>490</v>
      </c>
      <c r="D161" s="9" t="s">
        <v>526</v>
      </c>
      <c r="E161" t="s">
        <v>49</v>
      </c>
      <c r="F161" t="s">
        <v>75</v>
      </c>
      <c r="G161" s="4">
        <v>7.14</v>
      </c>
      <c r="H161" s="4">
        <v>1192.2</v>
      </c>
      <c r="I161" s="4">
        <v>676.3</v>
      </c>
      <c r="J161" s="4">
        <v>29.3</v>
      </c>
      <c r="K161" s="4">
        <v>61.21</v>
      </c>
      <c r="L161" s="4">
        <v>24.33</v>
      </c>
      <c r="M161" s="4">
        <v>80.569999999999993</v>
      </c>
      <c r="N161" s="4">
        <v>7.57</v>
      </c>
      <c r="O161" s="4">
        <v>227.58</v>
      </c>
      <c r="P161" s="4">
        <v>88.54</v>
      </c>
      <c r="Q161" s="4">
        <v>82.18</v>
      </c>
      <c r="R161" s="4">
        <v>57.28</v>
      </c>
      <c r="S161" s="4">
        <v>0.68</v>
      </c>
      <c r="T161" s="4">
        <v>-2.72</v>
      </c>
      <c r="U161" s="4">
        <v>-16.54</v>
      </c>
      <c r="V161" s="4">
        <v>0.3</v>
      </c>
      <c r="W161" s="4">
        <v>44</v>
      </c>
      <c r="X161" s="4">
        <v>-0.04</v>
      </c>
      <c r="Y161" s="4">
        <v>-0.15</v>
      </c>
      <c r="Z161" s="4">
        <v>-0.82</v>
      </c>
      <c r="AA161" s="4">
        <v>-4.95</v>
      </c>
      <c r="AB161" s="4">
        <f t="shared" si="10"/>
        <v>8.7549365200496378</v>
      </c>
      <c r="AC161" s="4">
        <f t="shared" si="11"/>
        <v>8.8978374139112422</v>
      </c>
      <c r="AD161" s="4">
        <f t="shared" si="12"/>
        <v>-0.80950956714336975</v>
      </c>
      <c r="AE161" s="4">
        <f t="shared" si="13"/>
        <v>2.2041388293244188</v>
      </c>
      <c r="AF161">
        <f t="shared" si="14"/>
        <v>42.242861290876078</v>
      </c>
      <c r="AG161" t="s">
        <v>492</v>
      </c>
      <c r="AH161" t="s">
        <v>506</v>
      </c>
      <c r="AI161" t="s">
        <v>487</v>
      </c>
      <c r="AJ161" t="s">
        <v>488</v>
      </c>
    </row>
    <row r="162" spans="1:36" x14ac:dyDescent="0.3">
      <c r="A162" t="s">
        <v>703</v>
      </c>
      <c r="B162" t="s">
        <v>270</v>
      </c>
      <c r="C162" t="s">
        <v>484</v>
      </c>
      <c r="D162" s="9" t="s">
        <v>494</v>
      </c>
      <c r="E162" t="s">
        <v>32</v>
      </c>
      <c r="F162" t="s">
        <v>101</v>
      </c>
      <c r="G162" s="4">
        <v>7.21</v>
      </c>
      <c r="H162" s="4">
        <v>709.9</v>
      </c>
      <c r="I162" s="4">
        <v>425</v>
      </c>
      <c r="J162" s="4">
        <v>30</v>
      </c>
      <c r="K162" s="4">
        <v>35.07</v>
      </c>
      <c r="L162" s="4">
        <v>14.69</v>
      </c>
      <c r="M162" s="4">
        <v>35.68</v>
      </c>
      <c r="N162" s="4">
        <v>3.97</v>
      </c>
      <c r="O162" s="4">
        <v>155.72999999999999</v>
      </c>
      <c r="P162" s="4">
        <v>49.99</v>
      </c>
      <c r="Q162" s="4">
        <v>28.04</v>
      </c>
      <c r="R162" s="4">
        <v>29.42</v>
      </c>
      <c r="S162" s="4">
        <v>1.1599999999999999</v>
      </c>
      <c r="T162" s="4">
        <v>-4.21</v>
      </c>
      <c r="U162" s="4">
        <v>-30.54</v>
      </c>
      <c r="V162" s="4">
        <v>0.22600000000000001</v>
      </c>
      <c r="W162" s="4">
        <v>70.099999999999994</v>
      </c>
      <c r="X162" s="4">
        <v>-0.51</v>
      </c>
      <c r="Y162" s="4">
        <v>-0.97</v>
      </c>
      <c r="Z162" s="4">
        <v>-0.95</v>
      </c>
      <c r="AA162" s="4">
        <v>-5.39</v>
      </c>
      <c r="AB162" s="4">
        <f t="shared" si="10"/>
        <v>4.6124784540868493</v>
      </c>
      <c r="AC162" s="4">
        <f t="shared" si="11"/>
        <v>5.0816566702061952</v>
      </c>
      <c r="AD162" s="4">
        <f t="shared" si="12"/>
        <v>-4.8398151057705752</v>
      </c>
      <c r="AE162" s="4">
        <f t="shared" si="13"/>
        <v>1.2760132936206414</v>
      </c>
      <c r="AF162">
        <f t="shared" si="14"/>
        <v>35.850278069789418</v>
      </c>
      <c r="AG162" t="s">
        <v>497</v>
      </c>
      <c r="AH162" t="s">
        <v>48</v>
      </c>
      <c r="AI162" t="s">
        <v>487</v>
      </c>
      <c r="AJ162" t="s">
        <v>488</v>
      </c>
    </row>
    <row r="163" spans="1:36" x14ac:dyDescent="0.3">
      <c r="A163" t="s">
        <v>704</v>
      </c>
      <c r="B163" t="s">
        <v>270</v>
      </c>
      <c r="C163" t="s">
        <v>490</v>
      </c>
      <c r="D163" s="9" t="s">
        <v>526</v>
      </c>
      <c r="E163" t="s">
        <v>32</v>
      </c>
      <c r="F163" t="s">
        <v>101</v>
      </c>
      <c r="G163" s="4">
        <v>7.48</v>
      </c>
      <c r="H163" s="4">
        <v>829</v>
      </c>
      <c r="I163" s="4">
        <v>539.70000000000005</v>
      </c>
      <c r="J163" s="4">
        <v>29.7</v>
      </c>
      <c r="K163" s="4">
        <v>58.3</v>
      </c>
      <c r="L163" s="4">
        <v>19.350000000000001</v>
      </c>
      <c r="M163" s="4">
        <v>53.93</v>
      </c>
      <c r="N163" s="4">
        <v>5.93</v>
      </c>
      <c r="O163" s="4">
        <v>188.78</v>
      </c>
      <c r="P163" s="4">
        <v>81.72</v>
      </c>
      <c r="Q163" s="4">
        <v>43.82</v>
      </c>
      <c r="R163" s="4">
        <v>24.33</v>
      </c>
      <c r="S163" s="4">
        <v>1.6</v>
      </c>
      <c r="T163" s="4">
        <v>-3.31</v>
      </c>
      <c r="U163" s="4">
        <v>-22.54</v>
      </c>
      <c r="V163" s="4">
        <v>0.223</v>
      </c>
      <c r="W163" s="4">
        <v>61.9</v>
      </c>
      <c r="X163" s="4">
        <v>0.32</v>
      </c>
      <c r="Y163" s="4">
        <v>0.33</v>
      </c>
      <c r="Z163" s="4">
        <v>-0.84</v>
      </c>
      <c r="AA163" s="4">
        <v>-4.7699999999999996</v>
      </c>
      <c r="AB163" s="4">
        <f t="shared" si="10"/>
        <v>6.9991665039800992</v>
      </c>
      <c r="AC163" s="4">
        <f t="shared" si="11"/>
        <v>6.7879203099008185</v>
      </c>
      <c r="AD163" s="4">
        <f t="shared" si="12"/>
        <v>1.5322032633217106</v>
      </c>
      <c r="AE163" s="4">
        <f t="shared" si="13"/>
        <v>1.5636598442037957</v>
      </c>
      <c r="AF163">
        <f t="shared" si="14"/>
        <v>35.683887842763447</v>
      </c>
      <c r="AG163" t="s">
        <v>497</v>
      </c>
      <c r="AH163" t="s">
        <v>48</v>
      </c>
      <c r="AI163" t="s">
        <v>487</v>
      </c>
      <c r="AJ163" t="s">
        <v>488</v>
      </c>
    </row>
    <row r="164" spans="1:36" x14ac:dyDescent="0.3">
      <c r="A164" t="s">
        <v>705</v>
      </c>
      <c r="B164" t="s">
        <v>274</v>
      </c>
      <c r="C164" t="s">
        <v>484</v>
      </c>
      <c r="D164" s="9" t="s">
        <v>551</v>
      </c>
      <c r="E164" t="s">
        <v>32</v>
      </c>
      <c r="F164" t="s">
        <v>277</v>
      </c>
      <c r="G164" s="4">
        <v>7.43</v>
      </c>
      <c r="H164" s="4">
        <v>494.1</v>
      </c>
      <c r="I164" s="4">
        <v>351.6</v>
      </c>
      <c r="J164" s="4">
        <v>29.1</v>
      </c>
      <c r="K164" s="4">
        <v>31.02</v>
      </c>
      <c r="L164" s="4">
        <v>10.75</v>
      </c>
      <c r="M164" s="4">
        <v>35.28</v>
      </c>
      <c r="N164" s="4">
        <v>4.4400000000000004</v>
      </c>
      <c r="O164" s="4">
        <v>107.64</v>
      </c>
      <c r="P164" s="4">
        <v>49.73</v>
      </c>
      <c r="Q164" s="4">
        <v>21.34</v>
      </c>
      <c r="R164" s="4">
        <v>18.48</v>
      </c>
      <c r="S164" s="4">
        <v>2.06</v>
      </c>
      <c r="T164" s="4">
        <v>-4.58</v>
      </c>
      <c r="U164" s="4">
        <v>-29.78</v>
      </c>
      <c r="V164" s="4">
        <v>0.15</v>
      </c>
      <c r="W164" s="4">
        <v>51.2</v>
      </c>
      <c r="X164" s="4">
        <v>0.04</v>
      </c>
      <c r="Y164" s="4">
        <v>-0.61</v>
      </c>
      <c r="Z164" s="4">
        <v>-1.1599999999999999</v>
      </c>
      <c r="AA164" s="4">
        <v>-5.04</v>
      </c>
      <c r="AB164" s="4">
        <f t="shared" si="10"/>
        <v>4.0807808850465364</v>
      </c>
      <c r="AC164" s="4">
        <f t="shared" si="11"/>
        <v>4.0176086812125256</v>
      </c>
      <c r="AD164" s="4">
        <f t="shared" si="12"/>
        <v>0.78005884154066829</v>
      </c>
      <c r="AE164" s="4">
        <f t="shared" si="13"/>
        <v>1.3915235013231557</v>
      </c>
      <c r="AF164">
        <f t="shared" si="14"/>
        <v>40.389519738186991</v>
      </c>
      <c r="AG164" t="s">
        <v>492</v>
      </c>
      <c r="AH164" t="s">
        <v>48</v>
      </c>
      <c r="AI164" t="s">
        <v>487</v>
      </c>
      <c r="AJ164" t="s">
        <v>488</v>
      </c>
    </row>
    <row r="165" spans="1:36" x14ac:dyDescent="0.3">
      <c r="A165" t="s">
        <v>706</v>
      </c>
      <c r="B165" t="s">
        <v>274</v>
      </c>
      <c r="C165" t="s">
        <v>490</v>
      </c>
      <c r="D165" s="9" t="s">
        <v>553</v>
      </c>
      <c r="E165" t="s">
        <v>32</v>
      </c>
      <c r="F165" t="s">
        <v>277</v>
      </c>
      <c r="G165" s="4">
        <v>7.63</v>
      </c>
      <c r="H165" s="4">
        <v>948.6</v>
      </c>
      <c r="I165" s="4">
        <v>571</v>
      </c>
      <c r="J165" s="4">
        <v>31.5</v>
      </c>
      <c r="K165" s="4">
        <v>49.8</v>
      </c>
      <c r="L165" s="4">
        <v>24.91</v>
      </c>
      <c r="M165" s="4">
        <v>56.17</v>
      </c>
      <c r="N165" s="4">
        <v>8.4600000000000009</v>
      </c>
      <c r="O165" s="4">
        <v>203.39</v>
      </c>
      <c r="P165" s="4">
        <v>88.74</v>
      </c>
      <c r="Q165" s="4">
        <v>42.27</v>
      </c>
      <c r="R165" s="4">
        <v>30.09</v>
      </c>
      <c r="S165" s="4">
        <v>2.78</v>
      </c>
      <c r="T165" s="4">
        <v>-2.96</v>
      </c>
      <c r="U165" s="4">
        <v>-20.18</v>
      </c>
      <c r="V165" s="4">
        <v>0.222</v>
      </c>
      <c r="W165" s="4">
        <v>52.2</v>
      </c>
      <c r="X165" s="4">
        <v>0.35</v>
      </c>
      <c r="Y165" s="4">
        <v>-0.23</v>
      </c>
      <c r="Z165" s="4">
        <v>-1.1599999999999999</v>
      </c>
      <c r="AA165" s="4">
        <v>-5.21</v>
      </c>
      <c r="AB165" s="4">
        <f t="shared" si="10"/>
        <v>7.194659767440255</v>
      </c>
      <c r="AC165" s="4">
        <f t="shared" si="11"/>
        <v>7.3481105207151876</v>
      </c>
      <c r="AD165" s="4">
        <f t="shared" si="12"/>
        <v>-1.0551686524259589</v>
      </c>
      <c r="AE165" s="4">
        <f t="shared" si="13"/>
        <v>1.6226082026756194</v>
      </c>
      <c r="AF165">
        <f t="shared" si="14"/>
        <v>36.967999996557225</v>
      </c>
      <c r="AG165" t="s">
        <v>492</v>
      </c>
      <c r="AH165" t="s">
        <v>48</v>
      </c>
      <c r="AI165" t="s">
        <v>487</v>
      </c>
      <c r="AJ165" t="s">
        <v>488</v>
      </c>
    </row>
    <row r="166" spans="1:36" x14ac:dyDescent="0.3">
      <c r="A166" t="s">
        <v>707</v>
      </c>
      <c r="B166" t="s">
        <v>281</v>
      </c>
      <c r="C166" t="s">
        <v>484</v>
      </c>
      <c r="D166" s="9" t="s">
        <v>524</v>
      </c>
      <c r="E166" t="s">
        <v>32</v>
      </c>
      <c r="F166" t="s">
        <v>277</v>
      </c>
      <c r="G166" s="4">
        <v>7.05</v>
      </c>
      <c r="H166" s="4">
        <v>568.20000000000005</v>
      </c>
      <c r="I166" s="4">
        <v>362.6</v>
      </c>
      <c r="J166" s="4">
        <v>29.5</v>
      </c>
      <c r="K166" s="4">
        <v>25.69</v>
      </c>
      <c r="L166" s="4">
        <v>8.3000000000000007</v>
      </c>
      <c r="M166" s="4">
        <v>42.92</v>
      </c>
      <c r="N166" s="4">
        <v>4.2699999999999996</v>
      </c>
      <c r="O166" s="4">
        <v>103.39</v>
      </c>
      <c r="P166" s="4">
        <v>45.24</v>
      </c>
      <c r="Q166" s="4">
        <v>28.98</v>
      </c>
      <c r="R166" s="4">
        <v>17.34</v>
      </c>
      <c r="S166" s="4">
        <v>1.42</v>
      </c>
      <c r="T166" s="4">
        <v>-4.1900000000000004</v>
      </c>
      <c r="U166" s="4">
        <v>-26.43</v>
      </c>
      <c r="V166" s="4">
        <v>0.221</v>
      </c>
      <c r="W166" s="4">
        <v>62.7</v>
      </c>
      <c r="X166" s="4">
        <v>-0.7</v>
      </c>
      <c r="Y166" s="4">
        <v>-0.69</v>
      </c>
      <c r="Z166" s="4">
        <v>-1.83</v>
      </c>
      <c r="AA166" s="4">
        <v>-4.7300000000000004</v>
      </c>
      <c r="AB166" s="4">
        <f t="shared" si="10"/>
        <v>3.9411797468972685</v>
      </c>
      <c r="AC166" s="4">
        <f t="shared" si="11"/>
        <v>3.9283021231131725</v>
      </c>
      <c r="AD166" s="4">
        <f t="shared" si="12"/>
        <v>0.16364004640725952</v>
      </c>
      <c r="AE166" s="4">
        <f t="shared" si="13"/>
        <v>1.8835396838338945</v>
      </c>
      <c r="AF166">
        <f t="shared" si="14"/>
        <v>50.142158802675787</v>
      </c>
      <c r="AG166" t="s">
        <v>521</v>
      </c>
      <c r="AH166" t="s">
        <v>48</v>
      </c>
      <c r="AI166" t="s">
        <v>487</v>
      </c>
      <c r="AJ166" t="s">
        <v>488</v>
      </c>
    </row>
    <row r="167" spans="1:36" x14ac:dyDescent="0.3">
      <c r="A167" t="s">
        <v>708</v>
      </c>
      <c r="B167" t="s">
        <v>281</v>
      </c>
      <c r="C167" t="s">
        <v>490</v>
      </c>
      <c r="D167" s="9" t="s">
        <v>572</v>
      </c>
      <c r="E167" t="s">
        <v>32</v>
      </c>
      <c r="F167" t="s">
        <v>277</v>
      </c>
      <c r="G167" s="4">
        <v>7.55</v>
      </c>
      <c r="H167" s="4">
        <v>782.2</v>
      </c>
      <c r="I167" s="4">
        <v>536.29999999999995</v>
      </c>
      <c r="J167" s="4">
        <v>29.5</v>
      </c>
      <c r="K167" s="4">
        <v>52.22</v>
      </c>
      <c r="L167" s="4">
        <v>13.39</v>
      </c>
      <c r="M167" s="4">
        <v>64.28</v>
      </c>
      <c r="N167" s="4">
        <v>7.5</v>
      </c>
      <c r="O167" s="4">
        <v>185.24</v>
      </c>
      <c r="P167" s="4">
        <v>94.91</v>
      </c>
      <c r="Q167" s="4">
        <v>36.020000000000003</v>
      </c>
      <c r="R167" s="4">
        <v>15.76</v>
      </c>
      <c r="S167" s="4">
        <v>3.38</v>
      </c>
      <c r="T167" s="4">
        <v>-3.89</v>
      </c>
      <c r="U167" s="4">
        <v>-22.89</v>
      </c>
      <c r="V167" s="4">
        <v>0.23300000000000001</v>
      </c>
      <c r="W167" s="4">
        <v>56</v>
      </c>
      <c r="X167" s="4">
        <v>0.3</v>
      </c>
      <c r="Y167" s="4">
        <v>-0.35</v>
      </c>
      <c r="Z167" s="4">
        <v>-1.0900000000000001</v>
      </c>
      <c r="AA167" s="4">
        <v>-4.9400000000000004</v>
      </c>
      <c r="AB167" s="4">
        <f t="shared" si="10"/>
        <v>6.6956949102515884</v>
      </c>
      <c r="AC167" s="4">
        <f t="shared" si="11"/>
        <v>6.8950252880795757</v>
      </c>
      <c r="AD167" s="4">
        <f t="shared" si="12"/>
        <v>-1.4666653048486979</v>
      </c>
      <c r="AE167" s="4">
        <f t="shared" si="13"/>
        <v>2.0535987979748493</v>
      </c>
      <c r="AF167">
        <f t="shared" si="14"/>
        <v>44.624876018169715</v>
      </c>
      <c r="AG167" t="s">
        <v>606</v>
      </c>
      <c r="AH167" t="s">
        <v>48</v>
      </c>
      <c r="AI167" t="s">
        <v>487</v>
      </c>
      <c r="AJ167" t="s">
        <v>488</v>
      </c>
    </row>
    <row r="168" spans="1:36" x14ac:dyDescent="0.3">
      <c r="A168" t="s">
        <v>709</v>
      </c>
      <c r="B168" t="s">
        <v>284</v>
      </c>
      <c r="C168" t="s">
        <v>484</v>
      </c>
      <c r="D168" s="9" t="s">
        <v>494</v>
      </c>
      <c r="E168" t="s">
        <v>32</v>
      </c>
      <c r="F168" t="s">
        <v>101</v>
      </c>
      <c r="G168" s="4">
        <v>7.19</v>
      </c>
      <c r="H168" s="4">
        <v>820.6</v>
      </c>
      <c r="I168" s="4">
        <v>471.7</v>
      </c>
      <c r="J168" s="4">
        <v>28.9</v>
      </c>
      <c r="K168" s="4">
        <v>38.67</v>
      </c>
      <c r="L168" s="4">
        <v>13.13</v>
      </c>
      <c r="M168" s="4">
        <v>46.99</v>
      </c>
      <c r="N168" s="4">
        <v>5.26</v>
      </c>
      <c r="O168" s="4">
        <v>148.25</v>
      </c>
      <c r="P168" s="4">
        <v>52.21</v>
      </c>
      <c r="Q168" s="4">
        <v>29.88</v>
      </c>
      <c r="R168" s="4">
        <v>44.48</v>
      </c>
      <c r="S168" s="4">
        <v>1.25</v>
      </c>
      <c r="T168" s="4">
        <v>-3.67</v>
      </c>
      <c r="U168" s="4">
        <v>-24.63</v>
      </c>
      <c r="V168" s="4">
        <v>0.186</v>
      </c>
      <c r="W168" s="4">
        <v>77</v>
      </c>
      <c r="X168" s="4">
        <v>0.23</v>
      </c>
      <c r="Y168" s="4">
        <v>-0.15</v>
      </c>
      <c r="Z168" s="4">
        <v>-0.86</v>
      </c>
      <c r="AA168" s="4">
        <v>-5.25</v>
      </c>
      <c r="AB168" s="4">
        <f t="shared" si="10"/>
        <v>5.1887279263675676</v>
      </c>
      <c r="AC168" s="4">
        <f t="shared" si="11"/>
        <v>5.3076147493427142</v>
      </c>
      <c r="AD168" s="4">
        <f t="shared" si="12"/>
        <v>-1.1326499776942689</v>
      </c>
      <c r="AE168" s="4">
        <f t="shared" si="13"/>
        <v>1.6661136586104917</v>
      </c>
      <c r="AF168">
        <f t="shared" si="14"/>
        <v>41.986298379946689</v>
      </c>
      <c r="AG168" t="s">
        <v>492</v>
      </c>
      <c r="AH168" t="s">
        <v>48</v>
      </c>
      <c r="AI168" t="s">
        <v>487</v>
      </c>
      <c r="AJ168" t="s">
        <v>488</v>
      </c>
    </row>
    <row r="169" spans="1:36" x14ac:dyDescent="0.3">
      <c r="A169" t="s">
        <v>710</v>
      </c>
      <c r="B169" t="s">
        <v>284</v>
      </c>
      <c r="C169" t="s">
        <v>490</v>
      </c>
      <c r="D169" s="9" t="s">
        <v>611</v>
      </c>
      <c r="E169" t="s">
        <v>32</v>
      </c>
      <c r="F169" t="s">
        <v>101</v>
      </c>
      <c r="G169" s="4">
        <v>7.23</v>
      </c>
      <c r="H169" s="4">
        <v>1098.0999999999999</v>
      </c>
      <c r="I169" s="4">
        <v>646.6</v>
      </c>
      <c r="J169" s="4">
        <v>29</v>
      </c>
      <c r="K169" s="4">
        <v>54.02</v>
      </c>
      <c r="L169" s="4">
        <v>23.87</v>
      </c>
      <c r="M169" s="4">
        <v>69.55</v>
      </c>
      <c r="N169" s="4">
        <v>6.87</v>
      </c>
      <c r="O169" s="4">
        <v>233.11</v>
      </c>
      <c r="P169" s="4">
        <v>93.08</v>
      </c>
      <c r="Q169" s="4">
        <v>36.1</v>
      </c>
      <c r="R169" s="4">
        <v>60.77</v>
      </c>
      <c r="S169" s="4">
        <v>2.2999999999999998</v>
      </c>
      <c r="T169" s="4">
        <v>-3.5</v>
      </c>
      <c r="U169" s="4">
        <v>-22.89</v>
      </c>
      <c r="V169" s="4">
        <v>0.155</v>
      </c>
      <c r="W169" s="4">
        <v>60.1</v>
      </c>
      <c r="X169" s="4">
        <v>0.22</v>
      </c>
      <c r="Y169" s="4">
        <v>-0.2</v>
      </c>
      <c r="Z169" s="4">
        <v>-1.48</v>
      </c>
      <c r="AA169" s="4">
        <v>-5.0599999999999996</v>
      </c>
      <c r="AB169" s="4">
        <f t="shared" si="10"/>
        <v>7.8610204640870478</v>
      </c>
      <c r="AC169" s="4">
        <f t="shared" si="11"/>
        <v>8.2986838766384921</v>
      </c>
      <c r="AD169" s="4">
        <f t="shared" si="12"/>
        <v>-2.7083627480018237</v>
      </c>
      <c r="AE169" s="4">
        <f t="shared" si="13"/>
        <v>1.981990221517842</v>
      </c>
      <c r="AF169">
        <f t="shared" si="14"/>
        <v>40.720823486407212</v>
      </c>
      <c r="AG169" t="s">
        <v>492</v>
      </c>
      <c r="AH169" t="s">
        <v>506</v>
      </c>
      <c r="AI169" t="s">
        <v>487</v>
      </c>
      <c r="AJ169" t="s">
        <v>488</v>
      </c>
    </row>
    <row r="170" spans="1:36" x14ac:dyDescent="0.3">
      <c r="A170" t="s">
        <v>711</v>
      </c>
      <c r="B170" t="s">
        <v>286</v>
      </c>
      <c r="C170" t="s">
        <v>484</v>
      </c>
      <c r="D170" s="9" t="s">
        <v>551</v>
      </c>
      <c r="E170" t="s">
        <v>32</v>
      </c>
      <c r="F170" t="s">
        <v>142</v>
      </c>
      <c r="G170" s="4">
        <v>7.44</v>
      </c>
      <c r="H170" s="4">
        <v>585.6</v>
      </c>
      <c r="I170" s="4">
        <v>363.7</v>
      </c>
      <c r="J170" s="4">
        <v>28.1</v>
      </c>
      <c r="K170" s="4">
        <v>34.520000000000003</v>
      </c>
      <c r="L170" s="4">
        <v>9.68</v>
      </c>
      <c r="M170" s="4">
        <v>43.86</v>
      </c>
      <c r="N170" s="4">
        <v>4.1500000000000004</v>
      </c>
      <c r="O170" s="4">
        <v>129.13</v>
      </c>
      <c r="P170" s="4">
        <v>46.23</v>
      </c>
      <c r="Q170" s="4">
        <v>24.14</v>
      </c>
      <c r="R170" s="4">
        <v>26.08</v>
      </c>
      <c r="S170" s="4">
        <v>1.0900000000000001</v>
      </c>
      <c r="T170" s="4">
        <v>-3.58</v>
      </c>
      <c r="U170" s="4">
        <v>-24.47</v>
      </c>
      <c r="V170" s="4">
        <v>0.20200000000000001</v>
      </c>
      <c r="W170" s="4">
        <v>29.4</v>
      </c>
      <c r="X170" s="4">
        <v>0.06</v>
      </c>
      <c r="Y170" s="4">
        <v>-0.7</v>
      </c>
      <c r="Z170" s="4">
        <v>-1.1000000000000001</v>
      </c>
      <c r="AA170" s="4">
        <v>-4.82</v>
      </c>
      <c r="AB170" s="4">
        <f t="shared" si="10"/>
        <v>4.5331972889164529</v>
      </c>
      <c r="AC170" s="4">
        <f t="shared" si="11"/>
        <v>4.4008989799158478</v>
      </c>
      <c r="AD170" s="4">
        <f t="shared" si="12"/>
        <v>1.4808247529427698</v>
      </c>
      <c r="AE170" s="4">
        <f t="shared" si="13"/>
        <v>1.6999397678160519</v>
      </c>
      <c r="AF170">
        <f t="shared" si="14"/>
        <v>44.428079988817551</v>
      </c>
      <c r="AG170" t="s">
        <v>492</v>
      </c>
      <c r="AH170" t="s">
        <v>48</v>
      </c>
      <c r="AI170" t="s">
        <v>487</v>
      </c>
      <c r="AJ170" t="s">
        <v>488</v>
      </c>
    </row>
    <row r="171" spans="1:36" x14ac:dyDescent="0.3">
      <c r="A171" t="s">
        <v>712</v>
      </c>
      <c r="B171" t="s">
        <v>286</v>
      </c>
      <c r="C171" t="s">
        <v>490</v>
      </c>
      <c r="D171" s="9" t="s">
        <v>535</v>
      </c>
      <c r="E171" t="s">
        <v>32</v>
      </c>
      <c r="F171" t="s">
        <v>142</v>
      </c>
      <c r="G171" s="4">
        <v>7.3</v>
      </c>
      <c r="H171" s="4">
        <v>1078.5999999999999</v>
      </c>
      <c r="I171" s="4">
        <v>593.79999999999995</v>
      </c>
      <c r="J171" s="4">
        <v>30</v>
      </c>
      <c r="K171" s="4">
        <v>48.22</v>
      </c>
      <c r="L171" s="4">
        <v>18.89</v>
      </c>
      <c r="M171" s="4">
        <v>72.069999999999993</v>
      </c>
      <c r="N171" s="4">
        <v>7.67</v>
      </c>
      <c r="O171" s="4">
        <v>200.07</v>
      </c>
      <c r="P171" s="4">
        <v>99.82</v>
      </c>
      <c r="Q171" s="4">
        <v>49.63</v>
      </c>
      <c r="R171" s="4">
        <v>36.14</v>
      </c>
      <c r="S171" s="4">
        <v>2.11</v>
      </c>
      <c r="T171" s="4">
        <v>-3.39</v>
      </c>
      <c r="U171" s="4">
        <v>-20.82</v>
      </c>
      <c r="V171" s="4">
        <v>0.128</v>
      </c>
      <c r="W171" s="4">
        <v>46.3</v>
      </c>
      <c r="X171" s="4">
        <v>-0.14000000000000001</v>
      </c>
      <c r="Y171" s="4">
        <v>0</v>
      </c>
      <c r="Z171" s="4">
        <v>-0.99</v>
      </c>
      <c r="AA171" s="4">
        <v>-4.4800000000000004</v>
      </c>
      <c r="AB171" s="4">
        <f t="shared" si="10"/>
        <v>7.2918716875820193</v>
      </c>
      <c r="AC171" s="4">
        <f t="shared" si="11"/>
        <v>7.8217686300697729</v>
      </c>
      <c r="AD171" s="4">
        <f t="shared" si="12"/>
        <v>-3.5060841157432256</v>
      </c>
      <c r="AE171" s="4">
        <f t="shared" si="13"/>
        <v>2.2277289491825214</v>
      </c>
      <c r="AF171">
        <f t="shared" si="14"/>
        <v>45.683076417543838</v>
      </c>
      <c r="AG171" t="s">
        <v>637</v>
      </c>
      <c r="AH171" t="s">
        <v>48</v>
      </c>
      <c r="AI171" t="s">
        <v>487</v>
      </c>
      <c r="AJ171" t="s">
        <v>488</v>
      </c>
    </row>
    <row r="172" spans="1:36" x14ac:dyDescent="0.3">
      <c r="A172" t="s">
        <v>713</v>
      </c>
      <c r="B172" t="s">
        <v>289</v>
      </c>
      <c r="C172" t="s">
        <v>484</v>
      </c>
      <c r="D172" s="9" t="s">
        <v>539</v>
      </c>
      <c r="E172" t="s">
        <v>32</v>
      </c>
      <c r="F172" t="s">
        <v>277</v>
      </c>
      <c r="G172" s="4">
        <v>7.29</v>
      </c>
      <c r="H172" s="4">
        <v>614.29999999999995</v>
      </c>
      <c r="I172" s="4">
        <v>367.1</v>
      </c>
      <c r="J172" s="4">
        <v>29.4</v>
      </c>
      <c r="K172" s="4">
        <v>33.93</v>
      </c>
      <c r="L172" s="4">
        <v>8.52</v>
      </c>
      <c r="M172" s="4">
        <v>39.43</v>
      </c>
      <c r="N172" s="4">
        <v>3.59</v>
      </c>
      <c r="O172" s="4">
        <v>104.35</v>
      </c>
      <c r="P172" s="4">
        <v>42.57</v>
      </c>
      <c r="Q172" s="4">
        <v>32.93</v>
      </c>
      <c r="R172" s="4">
        <v>25.19</v>
      </c>
      <c r="S172" s="4">
        <v>1.72</v>
      </c>
      <c r="T172" s="4">
        <v>-3.77</v>
      </c>
      <c r="U172" s="4">
        <v>-24.14</v>
      </c>
      <c r="V172" s="4">
        <v>0.16200000000000001</v>
      </c>
      <c r="W172" s="4">
        <v>58.9</v>
      </c>
      <c r="X172" s="4">
        <v>0.18</v>
      </c>
      <c r="Y172" s="4">
        <v>-0.72</v>
      </c>
      <c r="Z172" s="4">
        <v>-0.91</v>
      </c>
      <c r="AA172" s="4">
        <v>-4.92</v>
      </c>
      <c r="AB172" s="4">
        <f t="shared" si="10"/>
        <v>4.2012772513884009</v>
      </c>
      <c r="AC172" s="4">
        <f t="shared" si="11"/>
        <v>4.0933590260193533</v>
      </c>
      <c r="AD172" s="4">
        <f t="shared" si="12"/>
        <v>1.3010603691325966</v>
      </c>
      <c r="AE172" s="4">
        <f t="shared" si="13"/>
        <v>1.5675934787513583</v>
      </c>
      <c r="AF172">
        <f t="shared" si="14"/>
        <v>43.010460134930995</v>
      </c>
      <c r="AG172" t="s">
        <v>492</v>
      </c>
      <c r="AH172" t="s">
        <v>48</v>
      </c>
      <c r="AI172" t="s">
        <v>487</v>
      </c>
      <c r="AJ172" t="s">
        <v>488</v>
      </c>
    </row>
    <row r="173" spans="1:36" x14ac:dyDescent="0.3">
      <c r="A173" t="s">
        <v>714</v>
      </c>
      <c r="B173" t="s">
        <v>289</v>
      </c>
      <c r="C173" t="s">
        <v>490</v>
      </c>
      <c r="D173" s="9" t="s">
        <v>502</v>
      </c>
      <c r="E173" t="s">
        <v>32</v>
      </c>
      <c r="F173" t="s">
        <v>277</v>
      </c>
      <c r="G173" s="4">
        <v>7.12</v>
      </c>
      <c r="H173" s="4">
        <v>903.6</v>
      </c>
      <c r="I173" s="4">
        <v>538.70000000000005</v>
      </c>
      <c r="J173" s="4">
        <v>29</v>
      </c>
      <c r="K173" s="4">
        <v>49.13</v>
      </c>
      <c r="L173" s="4">
        <v>21.53</v>
      </c>
      <c r="M173" s="4">
        <v>56.26</v>
      </c>
      <c r="N173" s="4">
        <v>5.25</v>
      </c>
      <c r="O173" s="4">
        <v>181.07</v>
      </c>
      <c r="P173" s="4">
        <v>87.72</v>
      </c>
      <c r="Q173" s="4">
        <v>49.23</v>
      </c>
      <c r="R173" s="4">
        <v>15.18</v>
      </c>
      <c r="S173" s="4">
        <v>3.41</v>
      </c>
      <c r="T173" s="4">
        <v>-3.09</v>
      </c>
      <c r="U173" s="4">
        <v>-22.28</v>
      </c>
      <c r="V173" s="4">
        <v>0.17499999999999999</v>
      </c>
      <c r="W173" s="4">
        <v>55.8</v>
      </c>
      <c r="X173" s="4">
        <v>-0.3</v>
      </c>
      <c r="Y173" s="4">
        <v>-0.51</v>
      </c>
      <c r="Z173" s="4">
        <v>-0.81</v>
      </c>
      <c r="AA173" s="4">
        <v>-5.05</v>
      </c>
      <c r="AB173" s="4">
        <f t="shared" si="10"/>
        <v>6.8049064232833549</v>
      </c>
      <c r="AC173" s="4">
        <f t="shared" si="11"/>
        <v>6.8911402960650392</v>
      </c>
      <c r="AD173" s="4">
        <f t="shared" si="12"/>
        <v>-0.62962601215328606</v>
      </c>
      <c r="AE173" s="4">
        <f t="shared" si="13"/>
        <v>1.6840889449614131</v>
      </c>
      <c r="AF173">
        <f t="shared" si="14"/>
        <v>37.93638283277339</v>
      </c>
      <c r="AG173" t="s">
        <v>606</v>
      </c>
      <c r="AH173" t="s">
        <v>48</v>
      </c>
      <c r="AI173" t="s">
        <v>487</v>
      </c>
      <c r="AJ173" t="s">
        <v>488</v>
      </c>
    </row>
    <row r="174" spans="1:36" x14ac:dyDescent="0.3">
      <c r="A174" t="s">
        <v>715</v>
      </c>
      <c r="B174" t="s">
        <v>291</v>
      </c>
      <c r="C174" t="s">
        <v>484</v>
      </c>
      <c r="D174" s="9" t="s">
        <v>649</v>
      </c>
      <c r="E174" t="s">
        <v>32</v>
      </c>
      <c r="F174" t="s">
        <v>277</v>
      </c>
      <c r="G174" s="4">
        <v>7.21</v>
      </c>
      <c r="H174" s="4">
        <v>723.7</v>
      </c>
      <c r="I174" s="4">
        <v>431.7</v>
      </c>
      <c r="J174" s="4">
        <v>29.1</v>
      </c>
      <c r="K174" s="4">
        <v>36.79</v>
      </c>
      <c r="L174" s="4">
        <v>12.83</v>
      </c>
      <c r="M174" s="4">
        <v>35.049999999999997</v>
      </c>
      <c r="N174" s="4">
        <v>4.83</v>
      </c>
      <c r="O174" s="4">
        <v>117.71</v>
      </c>
      <c r="P174" s="4">
        <v>48.51</v>
      </c>
      <c r="Q174" s="4">
        <v>24.78</v>
      </c>
      <c r="R174" s="4">
        <v>93.24</v>
      </c>
      <c r="S174" s="4">
        <v>1.03</v>
      </c>
      <c r="T174" s="4">
        <v>-4.12</v>
      </c>
      <c r="U174" s="4">
        <v>-26.28</v>
      </c>
      <c r="V174" s="4">
        <v>0.19400000000000001</v>
      </c>
      <c r="W174" s="4">
        <v>41.8</v>
      </c>
      <c r="X174" s="4">
        <v>-0.53</v>
      </c>
      <c r="Y174" s="4">
        <v>-1.02</v>
      </c>
      <c r="Z174" s="4">
        <v>-1.23</v>
      </c>
      <c r="AA174" s="4">
        <v>-4.74</v>
      </c>
      <c r="AB174" s="4">
        <f t="shared" si="10"/>
        <v>4.5398477527165717</v>
      </c>
      <c r="AC174" s="4">
        <f t="shared" si="11"/>
        <v>5.3713524344088981</v>
      </c>
      <c r="AD174" s="4">
        <f t="shared" si="12"/>
        <v>-8.3895458268761534</v>
      </c>
      <c r="AE174" s="4">
        <f t="shared" si="13"/>
        <v>1.2679688664297075</v>
      </c>
      <c r="AF174">
        <f t="shared" si="14"/>
        <v>36.30469656023017</v>
      </c>
      <c r="AG174" t="s">
        <v>497</v>
      </c>
      <c r="AH174" t="s">
        <v>506</v>
      </c>
      <c r="AI174" t="s">
        <v>542</v>
      </c>
      <c r="AJ174" t="s">
        <v>543</v>
      </c>
    </row>
    <row r="175" spans="1:36" x14ac:dyDescent="0.3">
      <c r="A175" t="s">
        <v>716</v>
      </c>
      <c r="B175" t="s">
        <v>291</v>
      </c>
      <c r="C175" t="s">
        <v>490</v>
      </c>
      <c r="D175" s="9" t="s">
        <v>611</v>
      </c>
      <c r="E175" t="s">
        <v>32</v>
      </c>
      <c r="F175" t="s">
        <v>277</v>
      </c>
      <c r="G175" s="4">
        <v>6.95</v>
      </c>
      <c r="H175" s="4">
        <v>790.4</v>
      </c>
      <c r="I175" s="4">
        <v>539</v>
      </c>
      <c r="J175" s="4">
        <v>29</v>
      </c>
      <c r="K175" s="4">
        <v>60</v>
      </c>
      <c r="L175" s="4">
        <v>19.510000000000002</v>
      </c>
      <c r="M175" s="4">
        <v>47.23</v>
      </c>
      <c r="N175" s="4">
        <v>6.37</v>
      </c>
      <c r="O175" s="4">
        <v>160.13</v>
      </c>
      <c r="P175" s="4">
        <v>86.15</v>
      </c>
      <c r="Q175" s="4">
        <v>30.46</v>
      </c>
      <c r="R175" s="4">
        <v>56.44</v>
      </c>
      <c r="S175" s="4">
        <v>1.31</v>
      </c>
      <c r="T175" s="4">
        <v>-2.89</v>
      </c>
      <c r="U175" s="4">
        <v>-19.98</v>
      </c>
      <c r="V175" s="4">
        <v>0.25</v>
      </c>
      <c r="W175" s="4">
        <v>65.3</v>
      </c>
      <c r="X175" s="4">
        <v>-0.27</v>
      </c>
      <c r="Y175" s="4">
        <v>-0.39</v>
      </c>
      <c r="Z175" s="4">
        <v>-0.66</v>
      </c>
      <c r="AA175" s="4">
        <v>-4.0999999999999996</v>
      </c>
      <c r="AB175" s="4">
        <f t="shared" si="10"/>
        <v>6.8169771303985325</v>
      </c>
      <c r="AC175" s="4">
        <f t="shared" si="11"/>
        <v>6.66776355341932</v>
      </c>
      <c r="AD175" s="4">
        <f t="shared" si="12"/>
        <v>1.1065364954201442</v>
      </c>
      <c r="AE175" s="4">
        <f t="shared" si="13"/>
        <v>1.3547313808015344</v>
      </c>
      <c r="AF175">
        <f t="shared" si="14"/>
        <v>32.527390387338166</v>
      </c>
      <c r="AG175" t="s">
        <v>673</v>
      </c>
      <c r="AH175" t="s">
        <v>506</v>
      </c>
      <c r="AI175" t="s">
        <v>487</v>
      </c>
      <c r="AJ175" t="s">
        <v>488</v>
      </c>
    </row>
    <row r="176" spans="1:36" x14ac:dyDescent="0.3">
      <c r="A176" t="s">
        <v>717</v>
      </c>
      <c r="B176" t="s">
        <v>295</v>
      </c>
      <c r="C176" t="s">
        <v>484</v>
      </c>
      <c r="D176" s="9" t="s">
        <v>485</v>
      </c>
      <c r="E176" t="s">
        <v>32</v>
      </c>
      <c r="F176" t="s">
        <v>277</v>
      </c>
      <c r="G176" s="4">
        <v>7.14</v>
      </c>
      <c r="H176" s="4">
        <v>637.79999999999995</v>
      </c>
      <c r="I176" s="4">
        <v>413.9</v>
      </c>
      <c r="J176" s="4">
        <v>29.7</v>
      </c>
      <c r="K176" s="4">
        <v>36.340000000000003</v>
      </c>
      <c r="L176" s="4">
        <v>13.86</v>
      </c>
      <c r="M176" s="4">
        <v>42.06</v>
      </c>
      <c r="N176" s="4">
        <v>5.17</v>
      </c>
      <c r="O176" s="4">
        <v>133.18</v>
      </c>
      <c r="P176" s="4">
        <v>54.11</v>
      </c>
      <c r="Q176" s="4">
        <v>38.01</v>
      </c>
      <c r="R176" s="4">
        <v>21.13</v>
      </c>
      <c r="S176" s="4">
        <v>1.77</v>
      </c>
      <c r="T176" s="4">
        <v>-3.3</v>
      </c>
      <c r="U176" s="4">
        <v>-24.16</v>
      </c>
      <c r="V176" s="4">
        <v>0.214</v>
      </c>
      <c r="W176" s="4">
        <v>62.4</v>
      </c>
      <c r="X176" s="4">
        <v>-0.28999999999999998</v>
      </c>
      <c r="Y176" s="4">
        <v>-0.68</v>
      </c>
      <c r="Z176" s="4">
        <v>-1.29</v>
      </c>
      <c r="AA176" s="4">
        <v>-5.08</v>
      </c>
      <c r="AB176" s="4">
        <f t="shared" si="10"/>
        <v>4.9157723063517267</v>
      </c>
      <c r="AC176" s="4">
        <f t="shared" si="11"/>
        <v>4.9342797994406977</v>
      </c>
      <c r="AD176" s="4">
        <f t="shared" si="12"/>
        <v>-0.18789233691553281</v>
      </c>
      <c r="AE176" s="4">
        <f t="shared" si="13"/>
        <v>1.5054320556151815</v>
      </c>
      <c r="AF176">
        <f t="shared" si="14"/>
        <v>39.90832710886189</v>
      </c>
      <c r="AG176" t="s">
        <v>492</v>
      </c>
      <c r="AH176" t="s">
        <v>48</v>
      </c>
      <c r="AI176" t="s">
        <v>487</v>
      </c>
      <c r="AJ176" t="s">
        <v>488</v>
      </c>
    </row>
    <row r="177" spans="1:36" x14ac:dyDescent="0.3">
      <c r="A177" t="s">
        <v>718</v>
      </c>
      <c r="B177" t="s">
        <v>295</v>
      </c>
      <c r="C177" t="s">
        <v>490</v>
      </c>
      <c r="D177" s="9" t="s">
        <v>496</v>
      </c>
      <c r="E177" t="s">
        <v>32</v>
      </c>
      <c r="F177" t="s">
        <v>277</v>
      </c>
      <c r="G177" s="4">
        <v>7.56</v>
      </c>
      <c r="H177" s="4">
        <v>788.8</v>
      </c>
      <c r="I177" s="4">
        <v>554.5</v>
      </c>
      <c r="J177" s="4">
        <v>28.9</v>
      </c>
      <c r="K177" s="4">
        <v>45.83</v>
      </c>
      <c r="L177" s="4">
        <v>19.63</v>
      </c>
      <c r="M177" s="4">
        <v>74.62</v>
      </c>
      <c r="N177" s="4">
        <v>8.41</v>
      </c>
      <c r="O177" s="4">
        <v>205.81</v>
      </c>
      <c r="P177" s="4">
        <v>98.32</v>
      </c>
      <c r="Q177" s="4">
        <v>28.3</v>
      </c>
      <c r="R177" s="4">
        <v>14.44</v>
      </c>
      <c r="S177" s="4">
        <v>2.63</v>
      </c>
      <c r="T177" s="4">
        <v>-2.87</v>
      </c>
      <c r="U177" s="4">
        <v>-18.440000000000001</v>
      </c>
      <c r="V177" s="4">
        <v>0.221</v>
      </c>
      <c r="W177" s="4">
        <v>59.9</v>
      </c>
      <c r="X177" s="4">
        <v>0.19</v>
      </c>
      <c r="Y177" s="4">
        <v>-7.0000000000000007E-2</v>
      </c>
      <c r="Z177" s="4">
        <v>-1.1200000000000001</v>
      </c>
      <c r="AA177" s="4">
        <v>-4.71</v>
      </c>
      <c r="AB177" s="4">
        <f t="shared" si="10"/>
        <v>7.3633464939634932</v>
      </c>
      <c r="AC177" s="4">
        <f t="shared" si="11"/>
        <v>7.1068343013370354</v>
      </c>
      <c r="AD177" s="4">
        <f t="shared" si="12"/>
        <v>1.7726951463506597</v>
      </c>
      <c r="AE177" s="4">
        <f t="shared" si="13"/>
        <v>2.3237386884938647</v>
      </c>
      <c r="AF177">
        <f t="shared" si="14"/>
        <v>47.003094756347956</v>
      </c>
      <c r="AG177" t="s">
        <v>637</v>
      </c>
      <c r="AH177" t="s">
        <v>48</v>
      </c>
      <c r="AI177" t="s">
        <v>487</v>
      </c>
      <c r="AJ177" t="s">
        <v>488</v>
      </c>
    </row>
    <row r="178" spans="1:36" x14ac:dyDescent="0.3">
      <c r="A178" t="s">
        <v>719</v>
      </c>
      <c r="B178" t="s">
        <v>298</v>
      </c>
      <c r="C178" t="s">
        <v>484</v>
      </c>
      <c r="D178" s="9" t="s">
        <v>621</v>
      </c>
      <c r="E178" t="s">
        <v>32</v>
      </c>
      <c r="F178" t="s">
        <v>101</v>
      </c>
      <c r="G178" s="4">
        <v>6.94</v>
      </c>
      <c r="H178" s="4">
        <v>731</v>
      </c>
      <c r="I178" s="4">
        <v>437.3</v>
      </c>
      <c r="J178" s="4">
        <v>29.8</v>
      </c>
      <c r="K178" s="4">
        <v>39.979999999999997</v>
      </c>
      <c r="L178" s="4">
        <v>11.55</v>
      </c>
      <c r="M178" s="4">
        <v>43.48</v>
      </c>
      <c r="N178" s="4">
        <v>4.72</v>
      </c>
      <c r="O178" s="4">
        <v>131.85</v>
      </c>
      <c r="P178" s="4">
        <v>60.1</v>
      </c>
      <c r="Q178" s="4">
        <v>32.07</v>
      </c>
      <c r="R178" s="4">
        <v>23.49</v>
      </c>
      <c r="S178" s="4">
        <v>1.1200000000000001</v>
      </c>
      <c r="T178" s="4">
        <v>-4</v>
      </c>
      <c r="U178" s="4">
        <v>-23.09</v>
      </c>
      <c r="V178" s="4">
        <v>0.17</v>
      </c>
      <c r="W178" s="4">
        <v>75.8</v>
      </c>
      <c r="X178" s="4">
        <v>-0.54</v>
      </c>
      <c r="Y178" s="4">
        <v>-0.99</v>
      </c>
      <c r="Z178" s="4">
        <v>-1.06</v>
      </c>
      <c r="AA178" s="4">
        <v>-4.9400000000000004</v>
      </c>
      <c r="AB178" s="4">
        <f t="shared" si="10"/>
        <v>4.9575928841184442</v>
      </c>
      <c r="AC178" s="4">
        <f t="shared" si="11"/>
        <v>4.9616129965258704</v>
      </c>
      <c r="AD178" s="4">
        <f t="shared" si="12"/>
        <v>-4.0528571095300593E-2</v>
      </c>
      <c r="AE178" s="4">
        <f t="shared" si="13"/>
        <v>1.5584850294859689</v>
      </c>
      <c r="AF178">
        <f t="shared" si="14"/>
        <v>40.585454893541495</v>
      </c>
      <c r="AG178" t="s">
        <v>492</v>
      </c>
      <c r="AH178" t="s">
        <v>48</v>
      </c>
      <c r="AI178" t="s">
        <v>487</v>
      </c>
      <c r="AJ178" t="s">
        <v>488</v>
      </c>
    </row>
    <row r="179" spans="1:36" x14ac:dyDescent="0.3">
      <c r="A179" t="s">
        <v>720</v>
      </c>
      <c r="B179" t="s">
        <v>298</v>
      </c>
      <c r="C179" t="s">
        <v>490</v>
      </c>
      <c r="D179" s="9" t="s">
        <v>560</v>
      </c>
      <c r="E179" t="s">
        <v>32</v>
      </c>
      <c r="F179" t="s">
        <v>101</v>
      </c>
      <c r="G179" s="4">
        <v>7.42</v>
      </c>
      <c r="H179" s="4">
        <v>785.9</v>
      </c>
      <c r="I179" s="4">
        <v>542.1</v>
      </c>
      <c r="J179" s="4">
        <v>30.5</v>
      </c>
      <c r="K179" s="4">
        <v>51.54</v>
      </c>
      <c r="L179" s="4">
        <v>16.79</v>
      </c>
      <c r="M179" s="4">
        <v>64.989999999999995</v>
      </c>
      <c r="N179" s="4">
        <v>7.71</v>
      </c>
      <c r="O179" s="4">
        <v>171.32</v>
      </c>
      <c r="P179" s="4">
        <v>79.3</v>
      </c>
      <c r="Q179" s="4">
        <v>50.76</v>
      </c>
      <c r="R179" s="4">
        <v>37.03</v>
      </c>
      <c r="S179" s="4">
        <v>1.9</v>
      </c>
      <c r="T179" s="4">
        <v>-2.82</v>
      </c>
      <c r="U179" s="4">
        <v>-20.46</v>
      </c>
      <c r="V179" s="4">
        <v>0.153</v>
      </c>
      <c r="W179" s="4">
        <v>51.5</v>
      </c>
      <c r="X179" s="4">
        <v>-0.23</v>
      </c>
      <c r="Y179" s="4">
        <v>-0.65</v>
      </c>
      <c r="Z179" s="4">
        <v>-0.85</v>
      </c>
      <c r="AA179" s="4">
        <v>-4.4400000000000004</v>
      </c>
      <c r="AB179" s="4">
        <f t="shared" si="10"/>
        <v>6.9777943594253884</v>
      </c>
      <c r="AC179" s="4">
        <f t="shared" si="11"/>
        <v>6.7986131561364518</v>
      </c>
      <c r="AD179" s="4">
        <f t="shared" si="12"/>
        <v>1.3006380878798294</v>
      </c>
      <c r="AE179" s="4">
        <f t="shared" si="13"/>
        <v>2.0106915630199111</v>
      </c>
      <c r="AF179">
        <f t="shared" si="14"/>
        <v>43.340357299061864</v>
      </c>
      <c r="AG179" t="s">
        <v>492</v>
      </c>
      <c r="AH179" t="s">
        <v>48</v>
      </c>
      <c r="AI179" t="s">
        <v>487</v>
      </c>
      <c r="AJ179" t="s">
        <v>488</v>
      </c>
    </row>
    <row r="180" spans="1:36" x14ac:dyDescent="0.3">
      <c r="A180" t="s">
        <v>721</v>
      </c>
      <c r="B180" t="s">
        <v>300</v>
      </c>
      <c r="C180" t="s">
        <v>484</v>
      </c>
      <c r="D180" s="9" t="s">
        <v>662</v>
      </c>
      <c r="E180" t="s">
        <v>32</v>
      </c>
      <c r="F180" t="s">
        <v>142</v>
      </c>
      <c r="G180" s="4">
        <v>7.35</v>
      </c>
      <c r="H180" s="4">
        <v>612</v>
      </c>
      <c r="I180" s="4">
        <v>382</v>
      </c>
      <c r="J180" s="4">
        <v>29.2</v>
      </c>
      <c r="K180" s="4">
        <v>32.549999999999997</v>
      </c>
      <c r="L180" s="4">
        <v>12.05</v>
      </c>
      <c r="M180" s="4">
        <v>40.28</v>
      </c>
      <c r="N180" s="4">
        <v>3.69</v>
      </c>
      <c r="O180" s="4">
        <v>123.42</v>
      </c>
      <c r="P180" s="4">
        <v>44.49</v>
      </c>
      <c r="Q180" s="4">
        <v>25.36</v>
      </c>
      <c r="R180" s="4">
        <v>49.95</v>
      </c>
      <c r="S180" s="4">
        <v>1.33</v>
      </c>
      <c r="T180" s="4">
        <v>-3.44</v>
      </c>
      <c r="U180" s="4">
        <v>-26.51</v>
      </c>
      <c r="V180" s="4">
        <v>0.19700000000000001</v>
      </c>
      <c r="W180" s="4">
        <v>46.2</v>
      </c>
      <c r="X180" s="4">
        <v>0.31</v>
      </c>
      <c r="Y180" s="4">
        <v>-0.06</v>
      </c>
      <c r="Z180" s="4">
        <v>-1.36</v>
      </c>
      <c r="AA180" s="4">
        <v>-4.74</v>
      </c>
      <c r="AB180" s="4">
        <f t="shared" si="10"/>
        <v>4.4624186310275142</v>
      </c>
      <c r="AC180" s="4">
        <f t="shared" si="11"/>
        <v>4.6812411811040695</v>
      </c>
      <c r="AD180" s="4">
        <f t="shared" si="12"/>
        <v>-2.3931615411394334</v>
      </c>
      <c r="AE180" s="4">
        <f t="shared" si="13"/>
        <v>1.5320536380875986</v>
      </c>
      <c r="AF180">
        <f t="shared" si="14"/>
        <v>41.379366453123971</v>
      </c>
      <c r="AG180" t="s">
        <v>492</v>
      </c>
      <c r="AH180" t="s">
        <v>48</v>
      </c>
      <c r="AI180" t="s">
        <v>487</v>
      </c>
      <c r="AJ180" t="s">
        <v>488</v>
      </c>
    </row>
    <row r="181" spans="1:36" x14ac:dyDescent="0.3">
      <c r="A181" t="s">
        <v>722</v>
      </c>
      <c r="B181" t="s">
        <v>300</v>
      </c>
      <c r="C181" t="s">
        <v>490</v>
      </c>
      <c r="D181" s="9" t="s">
        <v>541</v>
      </c>
      <c r="E181" t="s">
        <v>32</v>
      </c>
      <c r="F181" t="s">
        <v>142</v>
      </c>
      <c r="G181" s="4">
        <v>7.07</v>
      </c>
      <c r="H181" s="4">
        <v>937.7</v>
      </c>
      <c r="I181" s="4">
        <v>573.6</v>
      </c>
      <c r="J181" s="4">
        <v>30.5</v>
      </c>
      <c r="K181" s="4">
        <v>56.07</v>
      </c>
      <c r="L181" s="4">
        <v>21.47</v>
      </c>
      <c r="M181" s="4">
        <v>58.87</v>
      </c>
      <c r="N181" s="4">
        <v>7.65</v>
      </c>
      <c r="O181" s="4">
        <v>203.16</v>
      </c>
      <c r="P181" s="4">
        <v>84.76</v>
      </c>
      <c r="Q181" s="4">
        <v>54.02</v>
      </c>
      <c r="R181" s="4">
        <v>32.85</v>
      </c>
      <c r="S181" s="4">
        <v>1.62</v>
      </c>
      <c r="T181" s="4">
        <v>-3.16</v>
      </c>
      <c r="U181" s="4">
        <v>-23.29</v>
      </c>
      <c r="V181" s="4">
        <v>0.16</v>
      </c>
      <c r="W181" s="4">
        <v>55.5</v>
      </c>
      <c r="X181" s="4">
        <v>-0.01</v>
      </c>
      <c r="Y181" s="4">
        <v>0.17</v>
      </c>
      <c r="Z181" s="4">
        <v>-1.25</v>
      </c>
      <c r="AA181" s="4">
        <v>-5.27</v>
      </c>
      <c r="AB181" s="4">
        <f t="shared" si="10"/>
        <v>7.3212106075504728</v>
      </c>
      <c r="AC181" s="4">
        <f t="shared" si="11"/>
        <v>7.4601720336249846</v>
      </c>
      <c r="AD181" s="4">
        <f t="shared" si="12"/>
        <v>-0.94011114824547404</v>
      </c>
      <c r="AE181" s="4">
        <f t="shared" si="13"/>
        <v>1.6950403901330484</v>
      </c>
      <c r="AF181">
        <f t="shared" si="14"/>
        <v>37.650223070789188</v>
      </c>
      <c r="AG181" t="s">
        <v>497</v>
      </c>
      <c r="AH181" t="s">
        <v>48</v>
      </c>
      <c r="AI181" t="s">
        <v>487</v>
      </c>
      <c r="AJ181" t="s">
        <v>488</v>
      </c>
    </row>
    <row r="182" spans="1:36" x14ac:dyDescent="0.3">
      <c r="A182" t="s">
        <v>723</v>
      </c>
      <c r="B182" t="s">
        <v>302</v>
      </c>
      <c r="C182" t="s">
        <v>484</v>
      </c>
      <c r="D182" s="9" t="s">
        <v>628</v>
      </c>
      <c r="E182" t="s">
        <v>32</v>
      </c>
      <c r="F182" t="s">
        <v>277</v>
      </c>
      <c r="G182" s="4">
        <v>7.26</v>
      </c>
      <c r="H182" s="4">
        <v>649.5</v>
      </c>
      <c r="I182" s="4">
        <v>459.3</v>
      </c>
      <c r="J182" s="4">
        <v>29.1</v>
      </c>
      <c r="K182" s="4">
        <v>34.270000000000003</v>
      </c>
      <c r="L182" s="4">
        <v>13.65</v>
      </c>
      <c r="M182" s="4">
        <v>46.54</v>
      </c>
      <c r="N182" s="4">
        <v>4.2699999999999996</v>
      </c>
      <c r="O182" s="4">
        <v>137.83000000000001</v>
      </c>
      <c r="P182" s="4">
        <v>57.95</v>
      </c>
      <c r="Q182" s="4">
        <v>35.96</v>
      </c>
      <c r="R182" s="4">
        <v>51.03</v>
      </c>
      <c r="S182" s="4">
        <v>3.01</v>
      </c>
      <c r="T182" s="4">
        <v>-3.58</v>
      </c>
      <c r="U182" s="4">
        <v>-23.36</v>
      </c>
      <c r="V182" s="4">
        <v>0.17699999999999999</v>
      </c>
      <c r="W182" s="4">
        <v>66.400000000000006</v>
      </c>
      <c r="X182" s="4">
        <v>-0.18</v>
      </c>
      <c r="Y182" s="4">
        <v>-0.39</v>
      </c>
      <c r="Z182" s="4">
        <v>-1.54</v>
      </c>
      <c r="AA182" s="4">
        <v>-4.5999999999999996</v>
      </c>
      <c r="AB182" s="4">
        <f t="shared" si="10"/>
        <v>4.9670500734886875</v>
      </c>
      <c r="AC182" s="4">
        <f t="shared" si="11"/>
        <v>5.6236100565843001</v>
      </c>
      <c r="AD182" s="4">
        <f t="shared" si="12"/>
        <v>-6.1994245404142507</v>
      </c>
      <c r="AE182" s="4">
        <f t="shared" si="13"/>
        <v>1.7008579834595021</v>
      </c>
      <c r="AF182">
        <f t="shared" si="14"/>
        <v>42.956265596036225</v>
      </c>
      <c r="AG182" t="s">
        <v>492</v>
      </c>
      <c r="AH182" t="s">
        <v>506</v>
      </c>
      <c r="AI182" t="s">
        <v>542</v>
      </c>
      <c r="AJ182" t="s">
        <v>543</v>
      </c>
    </row>
    <row r="183" spans="1:36" x14ac:dyDescent="0.3">
      <c r="A183" t="s">
        <v>724</v>
      </c>
      <c r="B183" t="s">
        <v>302</v>
      </c>
      <c r="C183" t="s">
        <v>490</v>
      </c>
      <c r="D183" s="9" t="s">
        <v>563</v>
      </c>
      <c r="E183" t="s">
        <v>32</v>
      </c>
      <c r="F183" t="s">
        <v>277</v>
      </c>
      <c r="G183" s="4">
        <v>7.18</v>
      </c>
      <c r="H183" s="4">
        <v>909.9</v>
      </c>
      <c r="I183" s="4">
        <v>551.29999999999995</v>
      </c>
      <c r="J183" s="4">
        <v>30.7</v>
      </c>
      <c r="K183" s="4">
        <v>51.42</v>
      </c>
      <c r="L183" s="4">
        <v>13.76</v>
      </c>
      <c r="M183" s="4">
        <v>66.930000000000007</v>
      </c>
      <c r="N183" s="4">
        <v>6.14</v>
      </c>
      <c r="O183" s="4">
        <v>171.31</v>
      </c>
      <c r="P183" s="4">
        <v>79.430000000000007</v>
      </c>
      <c r="Q183" s="4">
        <v>45.13</v>
      </c>
      <c r="R183" s="4">
        <v>48.37</v>
      </c>
      <c r="S183" s="4">
        <v>3.64</v>
      </c>
      <c r="T183" s="4">
        <v>-3.24</v>
      </c>
      <c r="U183" s="4">
        <v>-17.25</v>
      </c>
      <c r="V183" s="4">
        <v>0.191</v>
      </c>
      <c r="W183" s="4">
        <v>54</v>
      </c>
      <c r="X183" s="4">
        <v>-0.08</v>
      </c>
      <c r="Y183" s="4">
        <v>-0.42</v>
      </c>
      <c r="Z183" s="4">
        <v>-1.23</v>
      </c>
      <c r="AA183" s="4">
        <v>-4.1500000000000004</v>
      </c>
      <c r="AB183" s="4">
        <f t="shared" si="10"/>
        <v>6.7667073023438213</v>
      </c>
      <c r="AC183" s="4">
        <f t="shared" si="11"/>
        <v>6.9593750460036956</v>
      </c>
      <c r="AD183" s="4">
        <f t="shared" si="12"/>
        <v>-1.4036615748780608</v>
      </c>
      <c r="AE183" s="4">
        <f t="shared" si="13"/>
        <v>2.1409978093911177</v>
      </c>
      <c r="AF183">
        <f t="shared" si="14"/>
        <v>45.346038314445693</v>
      </c>
      <c r="AG183" t="s">
        <v>492</v>
      </c>
      <c r="AH183" t="s">
        <v>48</v>
      </c>
      <c r="AI183" t="s">
        <v>487</v>
      </c>
      <c r="AJ183" t="s">
        <v>488</v>
      </c>
    </row>
    <row r="184" spans="1:36" x14ac:dyDescent="0.3">
      <c r="A184" t="s">
        <v>725</v>
      </c>
      <c r="B184" t="s">
        <v>305</v>
      </c>
      <c r="C184" t="s">
        <v>484</v>
      </c>
      <c r="D184" s="9" t="s">
        <v>586</v>
      </c>
      <c r="E184" t="s">
        <v>32</v>
      </c>
      <c r="F184" t="s">
        <v>142</v>
      </c>
      <c r="G184" s="4">
        <v>7.1</v>
      </c>
      <c r="H184" s="4">
        <v>655.20000000000005</v>
      </c>
      <c r="I184" s="4">
        <v>389.2</v>
      </c>
      <c r="J184" s="4">
        <v>30.7</v>
      </c>
      <c r="K184" s="4">
        <v>34.450000000000003</v>
      </c>
      <c r="L184" s="4">
        <v>14.31</v>
      </c>
      <c r="M184" s="4">
        <v>38.520000000000003</v>
      </c>
      <c r="N184" s="4">
        <v>4.3</v>
      </c>
      <c r="O184" s="4">
        <v>119.23</v>
      </c>
      <c r="P184" s="4">
        <v>60.35</v>
      </c>
      <c r="Q184" s="4">
        <v>37.96</v>
      </c>
      <c r="R184" s="4">
        <v>15.93</v>
      </c>
      <c r="S184" s="4">
        <v>1.48</v>
      </c>
      <c r="T184" s="4">
        <v>-4.08</v>
      </c>
      <c r="U184" s="4">
        <v>-25.62</v>
      </c>
      <c r="V184" s="4">
        <v>0.25800000000000001</v>
      </c>
      <c r="W184" s="4">
        <v>51.2</v>
      </c>
      <c r="X184" s="4">
        <v>-0.44</v>
      </c>
      <c r="Y184" s="4">
        <v>-0.7</v>
      </c>
      <c r="Z184" s="4">
        <v>-1.23</v>
      </c>
      <c r="AA184" s="4">
        <v>-5.15</v>
      </c>
      <c r="AB184" s="4">
        <f t="shared" si="10"/>
        <v>4.6822471736593716</v>
      </c>
      <c r="AC184" s="4">
        <f t="shared" si="11"/>
        <v>4.7814887946282694</v>
      </c>
      <c r="AD184" s="4">
        <f t="shared" si="12"/>
        <v>-1.0486516244900528</v>
      </c>
      <c r="AE184" s="4">
        <f t="shared" si="13"/>
        <v>1.3922931921484165</v>
      </c>
      <c r="AF184">
        <f t="shared" si="14"/>
        <v>38.134766466834932</v>
      </c>
      <c r="AG184" t="s">
        <v>606</v>
      </c>
      <c r="AH184" t="s">
        <v>48</v>
      </c>
      <c r="AI184" t="s">
        <v>487</v>
      </c>
      <c r="AJ184" t="s">
        <v>488</v>
      </c>
    </row>
    <row r="185" spans="1:36" x14ac:dyDescent="0.3">
      <c r="A185" t="s">
        <v>726</v>
      </c>
      <c r="B185" t="s">
        <v>305</v>
      </c>
      <c r="C185" t="s">
        <v>490</v>
      </c>
      <c r="D185" s="9" t="s">
        <v>588</v>
      </c>
      <c r="E185" t="s">
        <v>32</v>
      </c>
      <c r="F185" t="s">
        <v>142</v>
      </c>
      <c r="G185" s="4">
        <v>6.98</v>
      </c>
      <c r="H185" s="4">
        <v>699</v>
      </c>
      <c r="I185" s="4">
        <v>481</v>
      </c>
      <c r="J185" s="4">
        <v>30.1</v>
      </c>
      <c r="K185" s="4">
        <v>54.43</v>
      </c>
      <c r="L185" s="4">
        <v>14.24</v>
      </c>
      <c r="M185" s="4">
        <v>40.64</v>
      </c>
      <c r="N185" s="4">
        <v>7.4</v>
      </c>
      <c r="O185" s="4">
        <v>161.21</v>
      </c>
      <c r="P185" s="4">
        <v>60.08</v>
      </c>
      <c r="Q185" s="4">
        <v>41.25</v>
      </c>
      <c r="R185" s="4">
        <v>21.25</v>
      </c>
      <c r="S185" s="4">
        <v>1.3</v>
      </c>
      <c r="T185" s="4">
        <v>-3.45</v>
      </c>
      <c r="U185" s="4">
        <v>-23.08</v>
      </c>
      <c r="V185" s="4">
        <v>0.14699999999999999</v>
      </c>
      <c r="W185" s="4">
        <v>59.2</v>
      </c>
      <c r="X185" s="4">
        <v>0.21</v>
      </c>
      <c r="Y185" s="4">
        <v>-0.15</v>
      </c>
      <c r="Z185" s="4">
        <v>-1.17</v>
      </c>
      <c r="AA185" s="4">
        <v>-4.76</v>
      </c>
      <c r="AB185" s="4">
        <f t="shared" si="10"/>
        <v>5.8450487437335985</v>
      </c>
      <c r="AC185" s="4">
        <f t="shared" si="11"/>
        <v>5.6067131800845598</v>
      </c>
      <c r="AD185" s="4">
        <f t="shared" si="12"/>
        <v>2.0812130503109056</v>
      </c>
      <c r="AE185" s="4">
        <f t="shared" si="13"/>
        <v>1.2679048849234282</v>
      </c>
      <c r="AF185">
        <f t="shared" si="14"/>
        <v>33.48252634510623</v>
      </c>
      <c r="AG185" t="s">
        <v>486</v>
      </c>
      <c r="AH185" t="s">
        <v>48</v>
      </c>
      <c r="AI185" t="s">
        <v>487</v>
      </c>
      <c r="AJ185" t="s">
        <v>488</v>
      </c>
    </row>
    <row r="186" spans="1:36" x14ac:dyDescent="0.3">
      <c r="A186" t="s">
        <v>727</v>
      </c>
      <c r="B186" t="s">
        <v>307</v>
      </c>
      <c r="C186" t="s">
        <v>484</v>
      </c>
      <c r="D186" s="9" t="s">
        <v>539</v>
      </c>
      <c r="E186" t="s">
        <v>32</v>
      </c>
      <c r="F186" t="s">
        <v>277</v>
      </c>
      <c r="G186" s="4">
        <v>7.35</v>
      </c>
      <c r="H186" s="4">
        <v>626.29999999999995</v>
      </c>
      <c r="I186" s="4">
        <v>418.4</v>
      </c>
      <c r="J186" s="4">
        <v>29.7</v>
      </c>
      <c r="K186" s="4">
        <v>37.01</v>
      </c>
      <c r="L186" s="4">
        <v>11.47</v>
      </c>
      <c r="M186" s="4">
        <v>40.380000000000003</v>
      </c>
      <c r="N186" s="4">
        <v>4.3600000000000003</v>
      </c>
      <c r="O186" s="4">
        <v>125.16</v>
      </c>
      <c r="P186" s="4">
        <v>56.58</v>
      </c>
      <c r="Q186" s="4">
        <v>45.35</v>
      </c>
      <c r="R186" s="4">
        <v>21.07</v>
      </c>
      <c r="S186" s="4">
        <v>1.55</v>
      </c>
      <c r="T186" s="4">
        <v>-4.3899999999999997</v>
      </c>
      <c r="U186" s="4">
        <v>-29.51</v>
      </c>
      <c r="V186" s="4">
        <v>0.22500000000000001</v>
      </c>
      <c r="W186" s="4">
        <v>64.3</v>
      </c>
      <c r="X186" s="4">
        <v>-0.28000000000000003</v>
      </c>
      <c r="Y186" s="4">
        <v>-0.46</v>
      </c>
      <c r="Z186" s="4">
        <v>-1.06</v>
      </c>
      <c r="AA186" s="4">
        <v>-5.57</v>
      </c>
      <c r="AB186" s="4">
        <f t="shared" si="10"/>
        <v>4.65874415504328</v>
      </c>
      <c r="AC186" s="4">
        <f t="shared" si="11"/>
        <v>5.0127818911200128</v>
      </c>
      <c r="AD186" s="4">
        <f t="shared" si="12"/>
        <v>-3.6606191658572858</v>
      </c>
      <c r="AE186" s="4">
        <f t="shared" si="13"/>
        <v>1.4869684586510976</v>
      </c>
      <c r="AF186">
        <f t="shared" si="14"/>
        <v>40.096790652816679</v>
      </c>
      <c r="AG186" t="s">
        <v>492</v>
      </c>
      <c r="AH186" t="s">
        <v>48</v>
      </c>
      <c r="AI186" t="s">
        <v>487</v>
      </c>
      <c r="AJ186" t="s">
        <v>488</v>
      </c>
    </row>
    <row r="187" spans="1:36" x14ac:dyDescent="0.3">
      <c r="A187" t="s">
        <v>728</v>
      </c>
      <c r="B187" t="s">
        <v>307</v>
      </c>
      <c r="C187" t="s">
        <v>490</v>
      </c>
      <c r="D187" s="9" t="s">
        <v>535</v>
      </c>
      <c r="E187" t="s">
        <v>32</v>
      </c>
      <c r="F187" t="s">
        <v>277</v>
      </c>
      <c r="G187" s="4">
        <v>7.27</v>
      </c>
      <c r="H187" s="4">
        <v>946.7</v>
      </c>
      <c r="I187" s="4">
        <v>554.4</v>
      </c>
      <c r="J187" s="4">
        <v>30.7</v>
      </c>
      <c r="K187" s="4">
        <v>52.76</v>
      </c>
      <c r="L187" s="4">
        <v>16.739999999999998</v>
      </c>
      <c r="M187" s="4">
        <v>58.84</v>
      </c>
      <c r="N187" s="4">
        <v>5.46</v>
      </c>
      <c r="O187" s="4">
        <v>195.07</v>
      </c>
      <c r="P187" s="4">
        <v>87.16</v>
      </c>
      <c r="Q187" s="4">
        <v>51.58</v>
      </c>
      <c r="R187" s="4">
        <v>23.6</v>
      </c>
      <c r="S187" s="4">
        <v>3.58</v>
      </c>
      <c r="T187" s="4">
        <v>-3.59</v>
      </c>
      <c r="U187" s="4">
        <v>-22.17</v>
      </c>
      <c r="V187" s="4">
        <v>0.16400000000000001</v>
      </c>
      <c r="W187" s="4">
        <v>67.5</v>
      </c>
      <c r="X187" s="4">
        <v>-0.08</v>
      </c>
      <c r="Y187" s="4">
        <v>-0.26</v>
      </c>
      <c r="Z187" s="4">
        <v>-1.06</v>
      </c>
      <c r="AA187" s="4">
        <v>-4.9000000000000004</v>
      </c>
      <c r="AB187" s="4">
        <f t="shared" si="10"/>
        <v>6.7094943121834003</v>
      </c>
      <c r="AC187" s="4">
        <f t="shared" si="11"/>
        <v>7.2984645325879374</v>
      </c>
      <c r="AD187" s="4">
        <f t="shared" si="12"/>
        <v>-4.204539911425984</v>
      </c>
      <c r="AE187" s="4">
        <f t="shared" si="13"/>
        <v>1.8074899362079757</v>
      </c>
      <c r="AF187">
        <f t="shared" si="14"/>
        <v>40.228576587086899</v>
      </c>
      <c r="AG187" t="s">
        <v>492</v>
      </c>
      <c r="AH187" t="s">
        <v>48</v>
      </c>
      <c r="AI187" t="s">
        <v>487</v>
      </c>
      <c r="AJ187" t="s">
        <v>488</v>
      </c>
    </row>
    <row r="188" spans="1:36" x14ac:dyDescent="0.3">
      <c r="A188" t="s">
        <v>729</v>
      </c>
      <c r="B188" t="s">
        <v>309</v>
      </c>
      <c r="C188" t="s">
        <v>484</v>
      </c>
      <c r="D188" s="9" t="s">
        <v>666</v>
      </c>
      <c r="E188" t="s">
        <v>32</v>
      </c>
      <c r="F188" t="s">
        <v>142</v>
      </c>
      <c r="G188" s="4">
        <v>6.92</v>
      </c>
      <c r="H188" s="4">
        <v>517.5</v>
      </c>
      <c r="I188" s="4">
        <v>348.4</v>
      </c>
      <c r="J188" s="4">
        <v>28</v>
      </c>
      <c r="K188" s="4">
        <v>26.98</v>
      </c>
      <c r="L188" s="4">
        <v>8.93</v>
      </c>
      <c r="M188" s="4">
        <v>40.950000000000003</v>
      </c>
      <c r="N188" s="4">
        <v>4.7699999999999996</v>
      </c>
      <c r="O188" s="4">
        <v>119.23</v>
      </c>
      <c r="P188" s="4">
        <v>43.9</v>
      </c>
      <c r="Q188" s="4">
        <v>31.71</v>
      </c>
      <c r="R188" s="4">
        <v>8.9499999999999993</v>
      </c>
      <c r="S188" s="4">
        <v>0.73</v>
      </c>
      <c r="T188" s="4">
        <v>-4.0199999999999996</v>
      </c>
      <c r="U188" s="4">
        <v>-25.44</v>
      </c>
      <c r="V188" s="4">
        <v>7.1999999999999995E-2</v>
      </c>
      <c r="W188" s="4">
        <v>51.2</v>
      </c>
      <c r="X188" s="4">
        <v>-0.44</v>
      </c>
      <c r="Y188" s="4">
        <v>-0.55000000000000004</v>
      </c>
      <c r="Z188" s="4">
        <v>-1.39</v>
      </c>
      <c r="AA188" s="4">
        <v>-4.75</v>
      </c>
      <c r="AB188" s="4">
        <f t="shared" si="10"/>
        <v>3.9844906219475926</v>
      </c>
      <c r="AC188" s="4">
        <f t="shared" si="11"/>
        <v>4.0353176181586576</v>
      </c>
      <c r="AD188" s="4">
        <f t="shared" si="12"/>
        <v>-0.6337682234954739</v>
      </c>
      <c r="AE188" s="4">
        <f t="shared" si="13"/>
        <v>1.7461905094425321</v>
      </c>
      <c r="AF188">
        <f t="shared" si="14"/>
        <v>47.767406383876548</v>
      </c>
      <c r="AG188" t="s">
        <v>521</v>
      </c>
      <c r="AH188" t="s">
        <v>48</v>
      </c>
      <c r="AI188" t="s">
        <v>487</v>
      </c>
      <c r="AJ188" t="s">
        <v>488</v>
      </c>
    </row>
    <row r="189" spans="1:36" x14ac:dyDescent="0.3">
      <c r="A189" t="s">
        <v>730</v>
      </c>
      <c r="B189" t="s">
        <v>309</v>
      </c>
      <c r="C189" t="s">
        <v>490</v>
      </c>
      <c r="D189" s="9" t="s">
        <v>572</v>
      </c>
      <c r="E189" t="s">
        <v>32</v>
      </c>
      <c r="F189" t="s">
        <v>142</v>
      </c>
      <c r="G189" s="4">
        <v>7.01</v>
      </c>
      <c r="H189" s="4">
        <v>746.5</v>
      </c>
      <c r="I189" s="4">
        <v>466.6</v>
      </c>
      <c r="J189" s="4">
        <v>29.7</v>
      </c>
      <c r="K189" s="4">
        <v>55.75</v>
      </c>
      <c r="L189" s="4">
        <v>17.05</v>
      </c>
      <c r="M189" s="4">
        <v>41.51</v>
      </c>
      <c r="N189" s="4">
        <v>4.7699999999999996</v>
      </c>
      <c r="O189" s="4">
        <v>178.37</v>
      </c>
      <c r="P189" s="4">
        <v>79.06</v>
      </c>
      <c r="Q189" s="4">
        <v>29.79</v>
      </c>
      <c r="R189" s="4">
        <v>10.86</v>
      </c>
      <c r="S189" s="4">
        <v>0.75</v>
      </c>
      <c r="T189" s="4">
        <v>-3.49</v>
      </c>
      <c r="U189" s="4">
        <v>-24.14</v>
      </c>
      <c r="V189" s="4">
        <v>0.189</v>
      </c>
      <c r="W189" s="4">
        <v>44.9</v>
      </c>
      <c r="X189" s="4">
        <v>-0.41</v>
      </c>
      <c r="Y189" s="4">
        <v>-0.82</v>
      </c>
      <c r="Z189" s="4">
        <v>-1.04</v>
      </c>
      <c r="AA189" s="4">
        <v>-4.74</v>
      </c>
      <c r="AB189" s="4">
        <f t="shared" si="10"/>
        <v>6.1127257550472223</v>
      </c>
      <c r="AC189" s="4">
        <f t="shared" si="11"/>
        <v>5.9881888654021189</v>
      </c>
      <c r="AD189" s="4">
        <f t="shared" si="12"/>
        <v>1.0291527008598871</v>
      </c>
      <c r="AE189" s="4">
        <f t="shared" si="13"/>
        <v>1.2482335438298864</v>
      </c>
      <c r="AF189">
        <f t="shared" si="14"/>
        <v>31.534987519974635</v>
      </c>
      <c r="AG189" t="s">
        <v>486</v>
      </c>
      <c r="AH189" t="s">
        <v>48</v>
      </c>
      <c r="AI189" t="s">
        <v>487</v>
      </c>
      <c r="AJ189" t="s">
        <v>488</v>
      </c>
    </row>
    <row r="190" spans="1:36" x14ac:dyDescent="0.3">
      <c r="A190" t="s">
        <v>731</v>
      </c>
      <c r="B190" t="s">
        <v>311</v>
      </c>
      <c r="C190" t="s">
        <v>484</v>
      </c>
      <c r="D190" s="9" t="s">
        <v>508</v>
      </c>
      <c r="E190" t="s">
        <v>32</v>
      </c>
      <c r="F190" t="s">
        <v>142</v>
      </c>
      <c r="G190" s="4">
        <v>6.92</v>
      </c>
      <c r="H190" s="4">
        <v>681.7</v>
      </c>
      <c r="I190" s="4">
        <v>389.3</v>
      </c>
      <c r="J190" s="4">
        <v>29.5</v>
      </c>
      <c r="K190" s="4">
        <v>35.450000000000003</v>
      </c>
      <c r="L190" s="4">
        <v>13.7</v>
      </c>
      <c r="M190" s="4">
        <v>36.200000000000003</v>
      </c>
      <c r="N190" s="4">
        <v>3.83</v>
      </c>
      <c r="O190" s="4">
        <v>131.6</v>
      </c>
      <c r="P190" s="4">
        <v>44.21</v>
      </c>
      <c r="Q190" s="4">
        <v>39.17</v>
      </c>
      <c r="R190" s="4">
        <v>22.18</v>
      </c>
      <c r="S190" s="4">
        <v>0.92</v>
      </c>
      <c r="T190" s="4">
        <v>-4.09</v>
      </c>
      <c r="U190" s="4">
        <v>-24.54</v>
      </c>
      <c r="V190" s="4">
        <v>0.221</v>
      </c>
      <c r="W190" s="4">
        <v>36.799999999999997</v>
      </c>
      <c r="X190" s="4">
        <v>-0.5</v>
      </c>
      <c r="Y190" s="4">
        <v>-0.61</v>
      </c>
      <c r="Z190" s="4">
        <v>-0.98</v>
      </c>
      <c r="AA190" s="4">
        <v>-5.19</v>
      </c>
      <c r="AB190" s="4">
        <f t="shared" si="10"/>
        <v>4.5690155248624151</v>
      </c>
      <c r="AC190" s="4">
        <f t="shared" si="11"/>
        <v>4.625486176547664</v>
      </c>
      <c r="AD190" s="4">
        <f t="shared" si="12"/>
        <v>-0.61417848970095346</v>
      </c>
      <c r="AE190" s="4">
        <f t="shared" si="13"/>
        <v>1.3085036487813049</v>
      </c>
      <c r="AF190">
        <f t="shared" si="14"/>
        <v>36.607998166342028</v>
      </c>
      <c r="AG190" t="s">
        <v>497</v>
      </c>
      <c r="AH190" t="s">
        <v>48</v>
      </c>
      <c r="AI190" t="s">
        <v>487</v>
      </c>
      <c r="AJ190" t="s">
        <v>488</v>
      </c>
    </row>
    <row r="191" spans="1:36" x14ac:dyDescent="0.3">
      <c r="A191" t="s">
        <v>732</v>
      </c>
      <c r="B191" t="s">
        <v>311</v>
      </c>
      <c r="C191" t="s">
        <v>490</v>
      </c>
      <c r="D191" s="9" t="s">
        <v>560</v>
      </c>
      <c r="E191" t="s">
        <v>32</v>
      </c>
      <c r="F191" t="s">
        <v>142</v>
      </c>
      <c r="G191" s="4">
        <v>7.07</v>
      </c>
      <c r="H191" s="4">
        <v>802.3</v>
      </c>
      <c r="I191" s="4">
        <v>564.1</v>
      </c>
      <c r="J191" s="4">
        <v>29.4</v>
      </c>
      <c r="K191" s="4">
        <v>56.11</v>
      </c>
      <c r="L191" s="4">
        <v>16.690000000000001</v>
      </c>
      <c r="M191" s="4">
        <v>68.27</v>
      </c>
      <c r="N191" s="4">
        <v>8</v>
      </c>
      <c r="O191" s="4">
        <v>206.83</v>
      </c>
      <c r="P191" s="4">
        <v>102.9</v>
      </c>
      <c r="Q191" s="4">
        <v>33.42</v>
      </c>
      <c r="R191" s="4">
        <v>19.16</v>
      </c>
      <c r="S191" s="4">
        <v>1.3</v>
      </c>
      <c r="T191" s="4">
        <v>-2.46</v>
      </c>
      <c r="U191" s="4">
        <v>-18.940000000000001</v>
      </c>
      <c r="V191" s="4">
        <v>0.245</v>
      </c>
      <c r="W191" s="4">
        <v>39.700000000000003</v>
      </c>
      <c r="X191" s="4">
        <v>0.08</v>
      </c>
      <c r="Y191" s="4">
        <v>-0.34</v>
      </c>
      <c r="Z191" s="4">
        <v>-1.6</v>
      </c>
      <c r="AA191" s="4">
        <v>-4.2</v>
      </c>
      <c r="AB191" s="4">
        <f t="shared" si="10"/>
        <v>7.3477150837319307</v>
      </c>
      <c r="AC191" s="4">
        <f t="shared" si="11"/>
        <v>7.365452034898551</v>
      </c>
      <c r="AD191" s="4">
        <f t="shared" si="12"/>
        <v>-0.12055155102643397</v>
      </c>
      <c r="AE191" s="4">
        <f t="shared" si="13"/>
        <v>2.0557901454217729</v>
      </c>
      <c r="AF191">
        <f t="shared" si="14"/>
        <v>43.201119837070607</v>
      </c>
      <c r="AG191" t="s">
        <v>606</v>
      </c>
      <c r="AH191" t="s">
        <v>733</v>
      </c>
      <c r="AI191" t="s">
        <v>487</v>
      </c>
      <c r="AJ191" t="s">
        <v>488</v>
      </c>
    </row>
    <row r="192" spans="1:36" x14ac:dyDescent="0.3">
      <c r="A192" t="s">
        <v>734</v>
      </c>
      <c r="B192" t="s">
        <v>313</v>
      </c>
      <c r="C192" t="s">
        <v>484</v>
      </c>
      <c r="D192" s="9" t="s">
        <v>551</v>
      </c>
      <c r="E192" t="s">
        <v>32</v>
      </c>
      <c r="F192" t="s">
        <v>101</v>
      </c>
      <c r="G192" s="4">
        <v>7.54</v>
      </c>
      <c r="H192" s="4">
        <v>752.9</v>
      </c>
      <c r="I192" s="4">
        <v>464</v>
      </c>
      <c r="J192" s="4">
        <v>28.1</v>
      </c>
      <c r="K192" s="4">
        <v>37.4</v>
      </c>
      <c r="L192" s="4">
        <v>13.23</v>
      </c>
      <c r="M192" s="4">
        <v>43.86</v>
      </c>
      <c r="N192" s="4">
        <v>3.81</v>
      </c>
      <c r="O192" s="4">
        <v>158.97999999999999</v>
      </c>
      <c r="P192" s="4">
        <v>48.21</v>
      </c>
      <c r="Q192" s="4">
        <v>39.94</v>
      </c>
      <c r="R192" s="4">
        <v>20.3</v>
      </c>
      <c r="S192" s="4">
        <v>1.36</v>
      </c>
      <c r="T192" s="4">
        <v>-3.47</v>
      </c>
      <c r="U192" s="4">
        <v>-20.62</v>
      </c>
      <c r="V192" s="4">
        <v>0.245</v>
      </c>
      <c r="W192" s="4">
        <v>81.7</v>
      </c>
      <c r="X192" s="4">
        <v>0.14000000000000001</v>
      </c>
      <c r="Y192" s="4">
        <v>-0.32</v>
      </c>
      <c r="Z192" s="4">
        <v>-1.26</v>
      </c>
      <c r="AA192" s="4">
        <v>-5.0599999999999996</v>
      </c>
      <c r="AB192" s="4">
        <f t="shared" si="10"/>
        <v>4.9603419011885928</v>
      </c>
      <c r="AC192" s="4">
        <f t="shared" si="11"/>
        <v>5.195918160677448</v>
      </c>
      <c r="AD192" s="4">
        <f t="shared" si="12"/>
        <v>-2.3195177954666528</v>
      </c>
      <c r="AE192" s="4">
        <f t="shared" si="13"/>
        <v>1.5695780978521647</v>
      </c>
      <c r="AF192">
        <f t="shared" si="14"/>
        <v>40.426979843932536</v>
      </c>
      <c r="AG192" t="s">
        <v>492</v>
      </c>
      <c r="AH192" t="s">
        <v>48</v>
      </c>
      <c r="AI192" t="s">
        <v>487</v>
      </c>
      <c r="AJ192" t="s">
        <v>488</v>
      </c>
    </row>
    <row r="193" spans="1:36" x14ac:dyDescent="0.3">
      <c r="A193" t="s">
        <v>735</v>
      </c>
      <c r="B193" t="s">
        <v>313</v>
      </c>
      <c r="C193" t="s">
        <v>490</v>
      </c>
      <c r="D193" s="9" t="s">
        <v>502</v>
      </c>
      <c r="E193" t="s">
        <v>32</v>
      </c>
      <c r="F193" t="s">
        <v>101</v>
      </c>
      <c r="G193" s="4">
        <v>7.42</v>
      </c>
      <c r="H193" s="4">
        <v>877.3</v>
      </c>
      <c r="I193" s="4">
        <v>531.70000000000005</v>
      </c>
      <c r="J193" s="4">
        <v>29.5</v>
      </c>
      <c r="K193" s="4">
        <v>57.72</v>
      </c>
      <c r="L193" s="4">
        <v>21.1</v>
      </c>
      <c r="M193" s="4">
        <v>48.4</v>
      </c>
      <c r="N193" s="4">
        <v>7.06</v>
      </c>
      <c r="O193" s="4">
        <v>155.5</v>
      </c>
      <c r="P193" s="4">
        <v>94.71</v>
      </c>
      <c r="Q193" s="4">
        <v>53.06</v>
      </c>
      <c r="R193" s="4">
        <v>21.87</v>
      </c>
      <c r="S193" s="4">
        <v>1.79</v>
      </c>
      <c r="T193" s="4">
        <v>-2.68</v>
      </c>
      <c r="U193" s="4">
        <v>-17.77</v>
      </c>
      <c r="V193" s="4">
        <v>0.23300000000000001</v>
      </c>
      <c r="W193" s="4">
        <v>65.3</v>
      </c>
      <c r="X193" s="4">
        <v>-0.03</v>
      </c>
      <c r="Y193" s="4">
        <v>-0.28000000000000003</v>
      </c>
      <c r="Z193" s="4">
        <v>-0.75</v>
      </c>
      <c r="AA193" s="4">
        <v>-4.5</v>
      </c>
      <c r="AB193" s="4">
        <f t="shared" si="10"/>
        <v>6.9025781413513698</v>
      </c>
      <c r="AC193" s="4">
        <f t="shared" si="11"/>
        <v>6.7715967214773141</v>
      </c>
      <c r="AD193" s="4">
        <f t="shared" si="12"/>
        <v>0.95787439599087099</v>
      </c>
      <c r="AE193" s="4">
        <f t="shared" si="13"/>
        <v>1.3857239807664528</v>
      </c>
      <c r="AF193">
        <f t="shared" si="14"/>
        <v>33.116997509083546</v>
      </c>
      <c r="AG193" t="s">
        <v>736</v>
      </c>
      <c r="AH193" t="s">
        <v>48</v>
      </c>
      <c r="AI193" t="s">
        <v>487</v>
      </c>
      <c r="AJ193" t="s">
        <v>488</v>
      </c>
    </row>
    <row r="194" spans="1:36" x14ac:dyDescent="0.3">
      <c r="A194" t="s">
        <v>737</v>
      </c>
      <c r="B194" t="s">
        <v>315</v>
      </c>
      <c r="C194" t="s">
        <v>484</v>
      </c>
      <c r="D194" s="9" t="s">
        <v>666</v>
      </c>
      <c r="E194" t="s">
        <v>32</v>
      </c>
      <c r="F194" t="s">
        <v>101</v>
      </c>
      <c r="G194" s="4">
        <v>7.18</v>
      </c>
      <c r="H194" s="4">
        <v>637.6</v>
      </c>
      <c r="I194" s="4">
        <v>437.3</v>
      </c>
      <c r="J194" s="4">
        <v>28.8</v>
      </c>
      <c r="K194" s="4">
        <v>31.12</v>
      </c>
      <c r="L194" s="4">
        <v>16.07</v>
      </c>
      <c r="M194" s="4">
        <v>45.71</v>
      </c>
      <c r="N194" s="4">
        <v>4.75</v>
      </c>
      <c r="O194" s="4">
        <v>149.59</v>
      </c>
      <c r="P194" s="4">
        <v>51.99</v>
      </c>
      <c r="Q194" s="4">
        <v>37.35</v>
      </c>
      <c r="R194" s="4">
        <v>22.33</v>
      </c>
      <c r="S194" s="4">
        <v>1.8</v>
      </c>
      <c r="T194" s="4">
        <v>-4.4400000000000004</v>
      </c>
      <c r="U194" s="4">
        <v>-25.98</v>
      </c>
      <c r="V194" s="4">
        <v>0.17599999999999999</v>
      </c>
      <c r="W194" s="4">
        <v>65.599999999999994</v>
      </c>
      <c r="X194" s="4">
        <v>-0.41</v>
      </c>
      <c r="Y194" s="4">
        <v>-1.08</v>
      </c>
      <c r="Z194" s="4">
        <v>-1.08</v>
      </c>
      <c r="AA194" s="4">
        <v>-4.9800000000000004</v>
      </c>
      <c r="AB194" s="4">
        <f t="shared" ref="AB194:AB257" si="15">K194/20.039+L194/12.1525+M194/22.989+N194/39.098</f>
        <v>4.9851652000575539</v>
      </c>
      <c r="AC194" s="4">
        <f t="shared" ref="AC194:AC257" si="16">O194/61.016+P194/35.453+Q194/48.03+R194/62.0049+S194/18.998</f>
        <v>5.1506191825049772</v>
      </c>
      <c r="AD194" s="4">
        <f t="shared" ref="AD194:AD257" si="17">100*(AB194-AC194)/(AB194+AC194)</f>
        <v>-1.6323747250589518</v>
      </c>
      <c r="AE194" s="4">
        <f t="shared" ref="AE194:AE257" si="18">(M194/22.989)/SQRT(((K194/20.039)+(L194/12.1525))/2)</f>
        <v>1.6582959395915176</v>
      </c>
      <c r="AF194">
        <f t="shared" ref="AF194:AF257" si="19">100*((M194/22.989)+(N194/39.098))/AB194</f>
        <v>42.3222051072174</v>
      </c>
      <c r="AG194" t="s">
        <v>521</v>
      </c>
      <c r="AH194" t="s">
        <v>48</v>
      </c>
      <c r="AI194" t="s">
        <v>487</v>
      </c>
      <c r="AJ194" t="s">
        <v>488</v>
      </c>
    </row>
    <row r="195" spans="1:36" x14ac:dyDescent="0.3">
      <c r="A195" t="s">
        <v>738</v>
      </c>
      <c r="B195" t="s">
        <v>315</v>
      </c>
      <c r="C195" t="s">
        <v>490</v>
      </c>
      <c r="D195" s="9" t="s">
        <v>529</v>
      </c>
      <c r="E195" t="s">
        <v>32</v>
      </c>
      <c r="F195" t="s">
        <v>101</v>
      </c>
      <c r="G195" s="4">
        <v>7.44</v>
      </c>
      <c r="H195" s="4">
        <v>863.1</v>
      </c>
      <c r="I195" s="4">
        <v>621.29999999999995</v>
      </c>
      <c r="J195" s="4">
        <v>30.3</v>
      </c>
      <c r="K195" s="4">
        <v>57.34</v>
      </c>
      <c r="L195" s="4">
        <v>17.399999999999999</v>
      </c>
      <c r="M195" s="4">
        <v>68.14</v>
      </c>
      <c r="N195" s="4">
        <v>8.06</v>
      </c>
      <c r="O195" s="4">
        <v>195.01</v>
      </c>
      <c r="P195" s="4">
        <v>104.45</v>
      </c>
      <c r="Q195" s="4">
        <v>47.44</v>
      </c>
      <c r="R195" s="4">
        <v>56.89</v>
      </c>
      <c r="S195" s="4">
        <v>2.5</v>
      </c>
      <c r="T195" s="4">
        <v>-3.11</v>
      </c>
      <c r="U195" s="4">
        <v>-23.51</v>
      </c>
      <c r="V195" s="4">
        <v>0.19600000000000001</v>
      </c>
      <c r="W195" s="4">
        <v>58.9</v>
      </c>
      <c r="X195" s="4">
        <v>0.15</v>
      </c>
      <c r="Y195" s="4">
        <v>0.2</v>
      </c>
      <c r="Z195" s="4">
        <v>-0.9</v>
      </c>
      <c r="AA195" s="4">
        <v>-4.84</v>
      </c>
      <c r="AB195" s="4">
        <f t="shared" si="15"/>
        <v>7.4633993116140696</v>
      </c>
      <c r="AC195" s="4">
        <f t="shared" si="16"/>
        <v>8.179017944124146</v>
      </c>
      <c r="AD195" s="4">
        <f t="shared" si="17"/>
        <v>-4.5748596320531023</v>
      </c>
      <c r="AE195" s="4">
        <f t="shared" si="18"/>
        <v>2.0230436482838625</v>
      </c>
      <c r="AF195">
        <f t="shared" si="19"/>
        <v>42.476287187352597</v>
      </c>
      <c r="AG195" t="s">
        <v>606</v>
      </c>
      <c r="AH195" t="s">
        <v>506</v>
      </c>
      <c r="AI195" t="s">
        <v>487</v>
      </c>
      <c r="AJ195" t="s">
        <v>488</v>
      </c>
    </row>
    <row r="196" spans="1:36" x14ac:dyDescent="0.3">
      <c r="A196" t="s">
        <v>739</v>
      </c>
      <c r="B196" t="s">
        <v>318</v>
      </c>
      <c r="C196" t="s">
        <v>484</v>
      </c>
      <c r="D196" s="9" t="s">
        <v>524</v>
      </c>
      <c r="E196" t="s">
        <v>32</v>
      </c>
      <c r="F196" t="s">
        <v>277</v>
      </c>
      <c r="G196" s="4">
        <v>7.59</v>
      </c>
      <c r="H196" s="4">
        <v>603.70000000000005</v>
      </c>
      <c r="I196" s="4">
        <v>414.7</v>
      </c>
      <c r="J196" s="4">
        <v>28.5</v>
      </c>
      <c r="K196" s="4">
        <v>36.869999999999997</v>
      </c>
      <c r="L196" s="4">
        <v>12.97</v>
      </c>
      <c r="M196" s="4">
        <v>38.56</v>
      </c>
      <c r="N196" s="4">
        <v>4.66</v>
      </c>
      <c r="O196" s="4">
        <v>133.47999999999999</v>
      </c>
      <c r="P196" s="4">
        <v>59.61</v>
      </c>
      <c r="Q196" s="4">
        <v>29.31</v>
      </c>
      <c r="R196" s="4">
        <v>11.63</v>
      </c>
      <c r="S196" s="4">
        <v>1.71</v>
      </c>
      <c r="T196" s="4">
        <v>-4.5599999999999996</v>
      </c>
      <c r="U196" s="4">
        <v>-30.76</v>
      </c>
      <c r="V196" s="4">
        <v>0.19700000000000001</v>
      </c>
      <c r="W196" s="4">
        <v>73.099999999999994</v>
      </c>
      <c r="X196" s="4">
        <v>-0.28999999999999998</v>
      </c>
      <c r="Y196" s="4">
        <v>-0.9</v>
      </c>
      <c r="Z196" s="4">
        <v>-1.1399999999999999</v>
      </c>
      <c r="AA196" s="4">
        <v>-4.34</v>
      </c>
      <c r="AB196" s="4">
        <f t="shared" si="15"/>
        <v>4.7036939000668232</v>
      </c>
      <c r="AC196" s="4">
        <f t="shared" si="16"/>
        <v>4.7568227956962028</v>
      </c>
      <c r="AD196" s="4">
        <f t="shared" si="17"/>
        <v>-0.56158555962565815</v>
      </c>
      <c r="AE196" s="4">
        <f t="shared" si="18"/>
        <v>1.3912199966156955</v>
      </c>
      <c r="AF196">
        <f t="shared" si="19"/>
        <v>38.193633725702391</v>
      </c>
      <c r="AG196" t="s">
        <v>497</v>
      </c>
      <c r="AH196" t="s">
        <v>48</v>
      </c>
      <c r="AI196" t="s">
        <v>487</v>
      </c>
      <c r="AJ196" t="s">
        <v>488</v>
      </c>
    </row>
    <row r="197" spans="1:36" x14ac:dyDescent="0.3">
      <c r="A197" t="s">
        <v>740</v>
      </c>
      <c r="B197" t="s">
        <v>318</v>
      </c>
      <c r="C197" t="s">
        <v>490</v>
      </c>
      <c r="D197" s="9" t="s">
        <v>502</v>
      </c>
      <c r="E197" t="s">
        <v>32</v>
      </c>
      <c r="F197" t="s">
        <v>277</v>
      </c>
      <c r="G197" s="4">
        <v>7.72</v>
      </c>
      <c r="H197" s="4">
        <v>952.7</v>
      </c>
      <c r="I197" s="4">
        <v>578.5</v>
      </c>
      <c r="J197" s="4">
        <v>29.7</v>
      </c>
      <c r="K197" s="4">
        <v>50.07</v>
      </c>
      <c r="L197" s="4">
        <v>26.06</v>
      </c>
      <c r="M197" s="4">
        <v>65.89</v>
      </c>
      <c r="N197" s="4">
        <v>6.53</v>
      </c>
      <c r="O197" s="4">
        <v>202.44</v>
      </c>
      <c r="P197" s="4">
        <v>103.89</v>
      </c>
      <c r="Q197" s="4">
        <v>35.06</v>
      </c>
      <c r="R197" s="4">
        <v>22.23</v>
      </c>
      <c r="S197" s="4">
        <v>2.58</v>
      </c>
      <c r="T197" s="4">
        <v>-3.62</v>
      </c>
      <c r="U197" s="4">
        <v>-20.67</v>
      </c>
      <c r="V197" s="4">
        <v>0.27300000000000002</v>
      </c>
      <c r="W197" s="4">
        <v>63</v>
      </c>
      <c r="X197" s="4">
        <v>0.11</v>
      </c>
      <c r="Y197" s="4">
        <v>0.11</v>
      </c>
      <c r="Z197" s="4">
        <v>-1.38</v>
      </c>
      <c r="AA197" s="4">
        <v>-5.1100000000000003</v>
      </c>
      <c r="AB197" s="4">
        <f t="shared" si="15"/>
        <v>7.6762119988768527</v>
      </c>
      <c r="AC197" s="4">
        <f t="shared" si="16"/>
        <v>7.4724610426357696</v>
      </c>
      <c r="AD197" s="4">
        <f t="shared" si="17"/>
        <v>1.3450086069105507</v>
      </c>
      <c r="AE197" s="4">
        <f t="shared" si="18"/>
        <v>1.881105269584713</v>
      </c>
      <c r="AF197">
        <f t="shared" si="19"/>
        <v>39.513885153372307</v>
      </c>
      <c r="AG197" t="s">
        <v>606</v>
      </c>
      <c r="AH197" t="s">
        <v>733</v>
      </c>
      <c r="AI197" t="s">
        <v>487</v>
      </c>
      <c r="AJ197" t="s">
        <v>488</v>
      </c>
    </row>
    <row r="198" spans="1:36" x14ac:dyDescent="0.3">
      <c r="A198" t="s">
        <v>741</v>
      </c>
      <c r="B198" t="s">
        <v>320</v>
      </c>
      <c r="C198" t="s">
        <v>484</v>
      </c>
      <c r="D198" s="9" t="s">
        <v>649</v>
      </c>
      <c r="E198" t="s">
        <v>32</v>
      </c>
      <c r="F198" t="s">
        <v>142</v>
      </c>
      <c r="G198" s="4">
        <v>7.16</v>
      </c>
      <c r="H198" s="4">
        <v>654.6</v>
      </c>
      <c r="I198" s="4">
        <v>376.7</v>
      </c>
      <c r="J198" s="4">
        <v>28.8</v>
      </c>
      <c r="K198" s="4">
        <v>34.619999999999997</v>
      </c>
      <c r="L198" s="4">
        <v>8.9499999999999993</v>
      </c>
      <c r="M198" s="4">
        <v>41.24</v>
      </c>
      <c r="N198" s="4">
        <v>5.07</v>
      </c>
      <c r="O198" s="4">
        <v>134.22999999999999</v>
      </c>
      <c r="P198" s="4">
        <v>49.41</v>
      </c>
      <c r="Q198" s="4">
        <v>33.799999999999997</v>
      </c>
      <c r="R198" s="4">
        <v>17</v>
      </c>
      <c r="S198" s="4">
        <v>0.87</v>
      </c>
      <c r="T198" s="4">
        <v>-4.0999999999999996</v>
      </c>
      <c r="U198" s="4">
        <v>-22.42</v>
      </c>
      <c r="V198" s="4">
        <v>0.14199999999999999</v>
      </c>
      <c r="W198" s="4">
        <v>48.4</v>
      </c>
      <c r="X198" s="4">
        <v>-0.11</v>
      </c>
      <c r="Y198" s="4">
        <v>-0.43</v>
      </c>
      <c r="Z198" s="4">
        <v>-1.88</v>
      </c>
      <c r="AA198" s="4">
        <v>-4.79</v>
      </c>
      <c r="AB198" s="4">
        <f t="shared" si="15"/>
        <v>4.3876806791151406</v>
      </c>
      <c r="AC198" s="4">
        <f t="shared" si="16"/>
        <v>4.6172839225466626</v>
      </c>
      <c r="AD198" s="4">
        <f t="shared" si="17"/>
        <v>-2.5497406551620463</v>
      </c>
      <c r="AE198" s="4">
        <f t="shared" si="18"/>
        <v>1.6161585374104428</v>
      </c>
      <c r="AF198">
        <f t="shared" si="19"/>
        <v>43.840373170403559</v>
      </c>
      <c r="AG198" t="s">
        <v>492</v>
      </c>
      <c r="AH198" t="s">
        <v>48</v>
      </c>
      <c r="AI198" t="s">
        <v>487</v>
      </c>
      <c r="AJ198" t="s">
        <v>488</v>
      </c>
    </row>
    <row r="199" spans="1:36" x14ac:dyDescent="0.3">
      <c r="A199" t="s">
        <v>742</v>
      </c>
      <c r="B199" t="s">
        <v>320</v>
      </c>
      <c r="C199" t="s">
        <v>490</v>
      </c>
      <c r="D199" s="9" t="s">
        <v>655</v>
      </c>
      <c r="E199" t="s">
        <v>32</v>
      </c>
      <c r="F199" t="s">
        <v>142</v>
      </c>
      <c r="G199" s="4">
        <v>6.9</v>
      </c>
      <c r="H199" s="4">
        <v>916.3</v>
      </c>
      <c r="I199" s="4">
        <v>540.1</v>
      </c>
      <c r="J199" s="4">
        <v>31</v>
      </c>
      <c r="K199" s="4">
        <v>55.92</v>
      </c>
      <c r="L199" s="4">
        <v>19.579999999999998</v>
      </c>
      <c r="M199" s="4">
        <v>55.32</v>
      </c>
      <c r="N199" s="4">
        <v>7.88</v>
      </c>
      <c r="O199" s="4">
        <v>187.78</v>
      </c>
      <c r="P199" s="4">
        <v>79.22</v>
      </c>
      <c r="Q199" s="4">
        <v>55.87</v>
      </c>
      <c r="R199" s="4">
        <v>28.98</v>
      </c>
      <c r="S199" s="4">
        <v>0.65</v>
      </c>
      <c r="T199" s="4">
        <v>-3.48</v>
      </c>
      <c r="U199" s="4">
        <v>-22.77</v>
      </c>
      <c r="V199" s="4">
        <v>0.192</v>
      </c>
      <c r="W199" s="4">
        <v>39.6</v>
      </c>
      <c r="X199" s="4">
        <v>0.12</v>
      </c>
      <c r="Y199" s="4">
        <v>-0.48</v>
      </c>
      <c r="Z199" s="4">
        <v>-1.07</v>
      </c>
      <c r="AA199" s="4">
        <v>-5.0599999999999996</v>
      </c>
      <c r="AB199" s="4">
        <f t="shared" si="15"/>
        <v>7.00966262317342</v>
      </c>
      <c r="AC199" s="4">
        <f t="shared" si="16"/>
        <v>6.9768889447511171</v>
      </c>
      <c r="AD199" s="4">
        <f t="shared" si="17"/>
        <v>0.2343227940292521</v>
      </c>
      <c r="AE199" s="4">
        <f t="shared" si="18"/>
        <v>1.6220507048852628</v>
      </c>
      <c r="AF199">
        <f t="shared" si="19"/>
        <v>37.204545201844276</v>
      </c>
      <c r="AG199" t="s">
        <v>497</v>
      </c>
      <c r="AH199" t="s">
        <v>48</v>
      </c>
      <c r="AI199" t="s">
        <v>487</v>
      </c>
      <c r="AJ199" t="s">
        <v>488</v>
      </c>
    </row>
    <row r="200" spans="1:36" x14ac:dyDescent="0.3">
      <c r="A200" t="s">
        <v>743</v>
      </c>
      <c r="B200" t="s">
        <v>322</v>
      </c>
      <c r="C200" t="s">
        <v>484</v>
      </c>
      <c r="D200" s="9" t="s">
        <v>485</v>
      </c>
      <c r="E200" t="s">
        <v>32</v>
      </c>
      <c r="F200" t="s">
        <v>142</v>
      </c>
      <c r="G200" s="4">
        <v>7.2</v>
      </c>
      <c r="H200" s="4">
        <v>562.29999999999995</v>
      </c>
      <c r="I200" s="4">
        <v>389</v>
      </c>
      <c r="J200" s="4">
        <v>29.4</v>
      </c>
      <c r="K200" s="4">
        <v>38.909999999999997</v>
      </c>
      <c r="L200" s="4">
        <v>13.82</v>
      </c>
      <c r="M200" s="4">
        <v>30.01</v>
      </c>
      <c r="N200" s="4">
        <v>3.89</v>
      </c>
      <c r="O200" s="4">
        <v>118.18</v>
      </c>
      <c r="P200" s="4">
        <v>44.28</v>
      </c>
      <c r="Q200" s="4">
        <v>29.58</v>
      </c>
      <c r="R200" s="4">
        <v>51.74</v>
      </c>
      <c r="S200" s="4">
        <v>0.83</v>
      </c>
      <c r="T200" s="4">
        <v>-3.86</v>
      </c>
      <c r="U200" s="4">
        <v>-22.15</v>
      </c>
      <c r="V200" s="4">
        <v>0.20799999999999999</v>
      </c>
      <c r="W200" s="4">
        <v>54.6</v>
      </c>
      <c r="X200" s="4">
        <v>-0.24</v>
      </c>
      <c r="Y200" s="4">
        <v>-0.59</v>
      </c>
      <c r="Z200" s="4">
        <v>-0.74</v>
      </c>
      <c r="AA200" s="4">
        <v>-5.35</v>
      </c>
      <c r="AB200" s="4">
        <f t="shared" si="15"/>
        <v>4.4838287372557337</v>
      </c>
      <c r="AC200" s="4">
        <f t="shared" si="16"/>
        <v>4.6798506117163017</v>
      </c>
      <c r="AD200" s="4">
        <f t="shared" si="17"/>
        <v>-2.139117563978898</v>
      </c>
      <c r="AE200" s="4">
        <f t="shared" si="18"/>
        <v>1.0521099568682593</v>
      </c>
      <c r="AF200">
        <f t="shared" si="19"/>
        <v>31.33260872147088</v>
      </c>
      <c r="AG200" t="s">
        <v>486</v>
      </c>
      <c r="AH200" t="s">
        <v>506</v>
      </c>
      <c r="AI200" t="s">
        <v>487</v>
      </c>
      <c r="AJ200" t="s">
        <v>488</v>
      </c>
    </row>
    <row r="201" spans="1:36" x14ac:dyDescent="0.3">
      <c r="A201" t="s">
        <v>744</v>
      </c>
      <c r="B201" t="s">
        <v>322</v>
      </c>
      <c r="C201" t="s">
        <v>490</v>
      </c>
      <c r="D201" s="9" t="s">
        <v>611</v>
      </c>
      <c r="E201" t="s">
        <v>32</v>
      </c>
      <c r="F201" t="s">
        <v>142</v>
      </c>
      <c r="G201" s="4">
        <v>6.87</v>
      </c>
      <c r="H201" s="4">
        <v>721.6</v>
      </c>
      <c r="I201" s="4">
        <v>518.4</v>
      </c>
      <c r="J201" s="4">
        <v>29.5</v>
      </c>
      <c r="K201" s="4">
        <v>46.24</v>
      </c>
      <c r="L201" s="4">
        <v>19.39</v>
      </c>
      <c r="M201" s="4">
        <v>50.39</v>
      </c>
      <c r="N201" s="4">
        <v>5.36</v>
      </c>
      <c r="O201" s="4">
        <v>162.66999999999999</v>
      </c>
      <c r="P201" s="4">
        <v>78.11</v>
      </c>
      <c r="Q201" s="4">
        <v>33.79</v>
      </c>
      <c r="R201" s="4">
        <v>70.760000000000005</v>
      </c>
      <c r="S201" s="4">
        <v>0.99</v>
      </c>
      <c r="T201" s="4">
        <v>-2.9</v>
      </c>
      <c r="U201" s="4">
        <v>-21.1</v>
      </c>
      <c r="V201" s="4">
        <v>0.23499999999999999</v>
      </c>
      <c r="W201" s="4">
        <v>41.8</v>
      </c>
      <c r="X201" s="4">
        <v>-0.11</v>
      </c>
      <c r="Y201" s="4">
        <v>0.3</v>
      </c>
      <c r="Z201" s="4">
        <v>-1.24</v>
      </c>
      <c r="AA201" s="4">
        <v>-4.6900000000000004</v>
      </c>
      <c r="AB201" s="4">
        <f t="shared" si="15"/>
        <v>6.2320661292234432</v>
      </c>
      <c r="AC201" s="4">
        <f t="shared" si="16"/>
        <v>6.7660501416181678</v>
      </c>
      <c r="AD201" s="4">
        <f t="shared" si="17"/>
        <v>-4.1081646083794414</v>
      </c>
      <c r="AE201" s="4">
        <f t="shared" si="18"/>
        <v>1.5690501968963533</v>
      </c>
      <c r="AF201">
        <f t="shared" si="19"/>
        <v>37.371382729234796</v>
      </c>
      <c r="AG201" t="s">
        <v>606</v>
      </c>
      <c r="AH201" t="s">
        <v>506</v>
      </c>
      <c r="AI201" t="s">
        <v>487</v>
      </c>
      <c r="AJ201" t="s">
        <v>488</v>
      </c>
    </row>
    <row r="202" spans="1:36" x14ac:dyDescent="0.3">
      <c r="A202" t="s">
        <v>745</v>
      </c>
      <c r="B202" t="s">
        <v>325</v>
      </c>
      <c r="C202" t="s">
        <v>484</v>
      </c>
      <c r="D202" s="9" t="s">
        <v>649</v>
      </c>
      <c r="E202" t="s">
        <v>32</v>
      </c>
      <c r="F202" t="s">
        <v>101</v>
      </c>
      <c r="G202" s="4">
        <v>7.05</v>
      </c>
      <c r="H202" s="4">
        <v>700.4</v>
      </c>
      <c r="I202" s="4">
        <v>396.5</v>
      </c>
      <c r="J202" s="4">
        <v>28.6</v>
      </c>
      <c r="K202" s="4">
        <v>34.39</v>
      </c>
      <c r="L202" s="4">
        <v>13.5</v>
      </c>
      <c r="M202" s="4">
        <v>39.36</v>
      </c>
      <c r="N202" s="4">
        <v>5.0599999999999996</v>
      </c>
      <c r="O202" s="4">
        <v>114.81</v>
      </c>
      <c r="P202" s="4">
        <v>40.65</v>
      </c>
      <c r="Q202" s="4">
        <v>31.92</v>
      </c>
      <c r="R202" s="4">
        <v>43.05</v>
      </c>
      <c r="S202" s="4">
        <v>1.1599999999999999</v>
      </c>
      <c r="T202" s="4">
        <v>-3.73</v>
      </c>
      <c r="U202" s="4">
        <v>-26.6</v>
      </c>
      <c r="V202" s="4">
        <v>0.23</v>
      </c>
      <c r="W202" s="4">
        <v>59.9</v>
      </c>
      <c r="X202" s="4">
        <v>-0.25</v>
      </c>
      <c r="Y202" s="4">
        <v>-0.06</v>
      </c>
      <c r="Z202" s="4">
        <v>-0.86</v>
      </c>
      <c r="AA202" s="4">
        <v>-5.24</v>
      </c>
      <c r="AB202" s="4">
        <f t="shared" si="15"/>
        <v>4.6685776090551458</v>
      </c>
      <c r="AC202" s="4">
        <f t="shared" si="16"/>
        <v>4.4481697043534298</v>
      </c>
      <c r="AD202" s="4">
        <f t="shared" si="17"/>
        <v>2.4176155938593165</v>
      </c>
      <c r="AE202" s="4">
        <f t="shared" si="18"/>
        <v>1.4400724273663741</v>
      </c>
      <c r="AF202">
        <f t="shared" si="19"/>
        <v>39.445452729578413</v>
      </c>
      <c r="AG202" t="s">
        <v>492</v>
      </c>
      <c r="AH202" t="s">
        <v>48</v>
      </c>
      <c r="AI202" t="s">
        <v>487</v>
      </c>
      <c r="AJ202" t="s">
        <v>488</v>
      </c>
    </row>
    <row r="203" spans="1:36" x14ac:dyDescent="0.3">
      <c r="A203" t="s">
        <v>746</v>
      </c>
      <c r="B203" t="s">
        <v>325</v>
      </c>
      <c r="C203" t="s">
        <v>490</v>
      </c>
      <c r="D203" s="9" t="s">
        <v>535</v>
      </c>
      <c r="E203" t="s">
        <v>32</v>
      </c>
      <c r="F203" t="s">
        <v>101</v>
      </c>
      <c r="G203" s="4">
        <v>7.66</v>
      </c>
      <c r="H203" s="4">
        <v>787.1</v>
      </c>
      <c r="I203" s="4">
        <v>564.9</v>
      </c>
      <c r="J203" s="4">
        <v>30.1</v>
      </c>
      <c r="K203" s="4">
        <v>70.41</v>
      </c>
      <c r="L203" s="4">
        <v>18.850000000000001</v>
      </c>
      <c r="M203" s="4">
        <v>38.619999999999997</v>
      </c>
      <c r="N203" s="4">
        <v>7</v>
      </c>
      <c r="O203" s="4">
        <v>178.74</v>
      </c>
      <c r="P203" s="4">
        <v>78.069999999999993</v>
      </c>
      <c r="Q203" s="4">
        <v>49.94</v>
      </c>
      <c r="R203" s="4">
        <v>47.34</v>
      </c>
      <c r="S203" s="4">
        <v>1.78</v>
      </c>
      <c r="T203" s="4">
        <v>-3.87</v>
      </c>
      <c r="U203" s="4">
        <v>-25.12</v>
      </c>
      <c r="V203" s="4">
        <v>0.24</v>
      </c>
      <c r="W203" s="4">
        <v>63.8</v>
      </c>
      <c r="X203" s="4">
        <v>-0.02</v>
      </c>
      <c r="Y203" s="4">
        <v>0.05</v>
      </c>
      <c r="Z203" s="4">
        <v>-0.92</v>
      </c>
      <c r="AA203" s="4">
        <v>-5.28</v>
      </c>
      <c r="AB203" s="4">
        <f t="shared" si="15"/>
        <v>6.9237407264634072</v>
      </c>
      <c r="AC203" s="4">
        <f t="shared" si="16"/>
        <v>7.0284148474132984</v>
      </c>
      <c r="AD203" s="4">
        <f t="shared" si="17"/>
        <v>-0.75023619393893193</v>
      </c>
      <c r="AE203" s="4">
        <f t="shared" si="18"/>
        <v>1.0556679632948147</v>
      </c>
      <c r="AF203">
        <f t="shared" si="19"/>
        <v>26.849231445457637</v>
      </c>
      <c r="AG203" t="s">
        <v>486</v>
      </c>
      <c r="AH203" t="s">
        <v>48</v>
      </c>
      <c r="AI203" t="s">
        <v>487</v>
      </c>
      <c r="AJ203" t="s">
        <v>488</v>
      </c>
    </row>
    <row r="204" spans="1:36" x14ac:dyDescent="0.3">
      <c r="A204" t="s">
        <v>747</v>
      </c>
      <c r="B204" t="s">
        <v>327</v>
      </c>
      <c r="C204" t="s">
        <v>484</v>
      </c>
      <c r="D204" s="9" t="s">
        <v>524</v>
      </c>
      <c r="E204" t="s">
        <v>32</v>
      </c>
      <c r="F204" t="s">
        <v>142</v>
      </c>
      <c r="G204" s="4">
        <v>7.14</v>
      </c>
      <c r="H204" s="4">
        <v>724.7</v>
      </c>
      <c r="I204" s="4">
        <v>408.8</v>
      </c>
      <c r="J204" s="4">
        <v>29.5</v>
      </c>
      <c r="K204" s="4">
        <v>41.36</v>
      </c>
      <c r="L204" s="4">
        <v>12.86</v>
      </c>
      <c r="M204" s="4">
        <v>36.65</v>
      </c>
      <c r="N204" s="4">
        <v>4.5999999999999996</v>
      </c>
      <c r="O204" s="4">
        <v>125.54</v>
      </c>
      <c r="P204" s="4">
        <v>47.49</v>
      </c>
      <c r="Q204" s="4">
        <v>32.200000000000003</v>
      </c>
      <c r="R204" s="4">
        <v>46.91</v>
      </c>
      <c r="S204" s="4">
        <v>0.97</v>
      </c>
      <c r="T204" s="4">
        <v>-4.37</v>
      </c>
      <c r="U204" s="4">
        <v>-27.17</v>
      </c>
      <c r="V204" s="4">
        <v>0.221</v>
      </c>
      <c r="W204" s="4">
        <v>53.9</v>
      </c>
      <c r="X204" s="4">
        <v>-0.1</v>
      </c>
      <c r="Y204" s="4">
        <v>-0.37</v>
      </c>
      <c r="Z204" s="4">
        <v>-0.98</v>
      </c>
      <c r="AA204" s="4">
        <v>-5.23</v>
      </c>
      <c r="AB204" s="4">
        <f t="shared" si="15"/>
        <v>4.8340875225391571</v>
      </c>
      <c r="AC204" s="4">
        <f t="shared" si="16"/>
        <v>4.8750384859629055</v>
      </c>
      <c r="AD204" s="4">
        <f t="shared" si="17"/>
        <v>-0.42177806105192722</v>
      </c>
      <c r="AE204" s="4">
        <f t="shared" si="18"/>
        <v>1.2759656220530202</v>
      </c>
      <c r="AF204">
        <f t="shared" si="19"/>
        <v>35.412966619375041</v>
      </c>
      <c r="AG204" t="s">
        <v>497</v>
      </c>
      <c r="AH204" t="s">
        <v>48</v>
      </c>
      <c r="AI204" t="s">
        <v>487</v>
      </c>
      <c r="AJ204" t="s">
        <v>488</v>
      </c>
    </row>
    <row r="205" spans="1:36" x14ac:dyDescent="0.3">
      <c r="A205" t="s">
        <v>748</v>
      </c>
      <c r="B205" t="s">
        <v>327</v>
      </c>
      <c r="C205" t="s">
        <v>490</v>
      </c>
      <c r="D205" s="9" t="s">
        <v>502</v>
      </c>
      <c r="E205" t="s">
        <v>32</v>
      </c>
      <c r="F205" t="s">
        <v>142</v>
      </c>
      <c r="G205" s="4">
        <v>7.18</v>
      </c>
      <c r="H205" s="4">
        <v>976.7</v>
      </c>
      <c r="I205" s="4">
        <v>545.4</v>
      </c>
      <c r="J205" s="4">
        <v>30.3</v>
      </c>
      <c r="K205" s="4">
        <v>59.08</v>
      </c>
      <c r="L205" s="4">
        <v>25.49</v>
      </c>
      <c r="M205" s="4">
        <v>54.81</v>
      </c>
      <c r="N205" s="4">
        <v>7.73</v>
      </c>
      <c r="O205" s="4">
        <v>161.76</v>
      </c>
      <c r="P205" s="4">
        <v>90.62</v>
      </c>
      <c r="Q205" s="4">
        <v>57.45</v>
      </c>
      <c r="R205" s="4">
        <v>30.92</v>
      </c>
      <c r="S205" s="4">
        <v>1.04</v>
      </c>
      <c r="T205" s="4">
        <v>-2.8</v>
      </c>
      <c r="U205" s="4">
        <v>-18.809999999999999</v>
      </c>
      <c r="V205" s="4">
        <v>0.19400000000000001</v>
      </c>
      <c r="W205" s="4">
        <v>57.6</v>
      </c>
      <c r="X205" s="4">
        <v>-0.37</v>
      </c>
      <c r="Y205" s="4">
        <v>-0.59</v>
      </c>
      <c r="Z205" s="4">
        <v>-0.91</v>
      </c>
      <c r="AA205" s="4">
        <v>-4.59</v>
      </c>
      <c r="AB205" s="4">
        <f t="shared" si="15"/>
        <v>7.627653773696891</v>
      </c>
      <c r="AC205" s="4">
        <f t="shared" si="16"/>
        <v>6.9567083333067572</v>
      </c>
      <c r="AD205" s="4">
        <f t="shared" si="17"/>
        <v>4.6004441981588959</v>
      </c>
      <c r="AE205" s="4">
        <f t="shared" si="18"/>
        <v>1.5010368397260567</v>
      </c>
      <c r="AF205">
        <f t="shared" si="19"/>
        <v>33.849098809771696</v>
      </c>
      <c r="AG205" t="s">
        <v>608</v>
      </c>
      <c r="AH205" t="s">
        <v>48</v>
      </c>
      <c r="AI205" t="s">
        <v>487</v>
      </c>
      <c r="AJ205" t="s">
        <v>488</v>
      </c>
    </row>
    <row r="206" spans="1:36" x14ac:dyDescent="0.3">
      <c r="A206" t="s">
        <v>749</v>
      </c>
      <c r="B206" t="s">
        <v>329</v>
      </c>
      <c r="C206" t="s">
        <v>484</v>
      </c>
      <c r="D206" s="9" t="s">
        <v>565</v>
      </c>
      <c r="E206" t="s">
        <v>32</v>
      </c>
      <c r="F206" t="s">
        <v>142</v>
      </c>
      <c r="G206" s="4">
        <v>7.08</v>
      </c>
      <c r="H206" s="4">
        <v>558.5</v>
      </c>
      <c r="I206" s="4">
        <v>345.3</v>
      </c>
      <c r="J206" s="4">
        <v>27.9</v>
      </c>
      <c r="K206" s="4">
        <v>30.69</v>
      </c>
      <c r="L206" s="4">
        <v>10.15</v>
      </c>
      <c r="M206" s="4">
        <v>40.39</v>
      </c>
      <c r="N206" s="4">
        <v>4.57</v>
      </c>
      <c r="O206" s="4">
        <v>120.84</v>
      </c>
      <c r="P206" s="4">
        <v>54.43</v>
      </c>
      <c r="Q206" s="4">
        <v>37.19</v>
      </c>
      <c r="R206" s="4">
        <v>7.03</v>
      </c>
      <c r="S206" s="4">
        <v>0.92</v>
      </c>
      <c r="T206" s="4">
        <v>-3.32</v>
      </c>
      <c r="U206" s="4">
        <v>-21.72</v>
      </c>
      <c r="V206" s="4">
        <v>0.246</v>
      </c>
      <c r="W206" s="4">
        <v>35.200000000000003</v>
      </c>
      <c r="X206" s="4">
        <v>-0.09</v>
      </c>
      <c r="Y206" s="4">
        <v>-0.25</v>
      </c>
      <c r="Z206" s="4">
        <v>-0.86</v>
      </c>
      <c r="AA206" s="4">
        <v>-5.6</v>
      </c>
      <c r="AB206" s="4">
        <f t="shared" si="15"/>
        <v>4.2405456395753811</v>
      </c>
      <c r="AC206" s="4">
        <f t="shared" si="16"/>
        <v>4.4518482015775307</v>
      </c>
      <c r="AD206" s="4">
        <f t="shared" si="17"/>
        <v>-2.4308903377314479</v>
      </c>
      <c r="AE206" s="4">
        <f t="shared" si="18"/>
        <v>1.6150804890000003</v>
      </c>
      <c r="AF206">
        <f t="shared" si="19"/>
        <v>44.188016343591812</v>
      </c>
      <c r="AG206" t="s">
        <v>492</v>
      </c>
      <c r="AH206" t="s">
        <v>48</v>
      </c>
      <c r="AI206" t="s">
        <v>487</v>
      </c>
      <c r="AJ206" t="s">
        <v>488</v>
      </c>
    </row>
    <row r="207" spans="1:36" x14ac:dyDescent="0.3">
      <c r="A207" t="s">
        <v>750</v>
      </c>
      <c r="B207" t="s">
        <v>329</v>
      </c>
      <c r="C207" t="s">
        <v>490</v>
      </c>
      <c r="D207" s="9" t="s">
        <v>541</v>
      </c>
      <c r="E207" t="s">
        <v>32</v>
      </c>
      <c r="F207" t="s">
        <v>142</v>
      </c>
      <c r="G207" s="4">
        <v>7.07</v>
      </c>
      <c r="H207" s="4">
        <v>854.8</v>
      </c>
      <c r="I207" s="4">
        <v>482.1</v>
      </c>
      <c r="J207" s="4">
        <v>30</v>
      </c>
      <c r="K207" s="4">
        <v>51.14</v>
      </c>
      <c r="L207" s="4">
        <v>17.59</v>
      </c>
      <c r="M207" s="4">
        <v>48.17</v>
      </c>
      <c r="N207" s="4">
        <v>6.44</v>
      </c>
      <c r="O207" s="4">
        <v>193.42</v>
      </c>
      <c r="P207" s="4">
        <v>79.83</v>
      </c>
      <c r="Q207" s="4">
        <v>30.79</v>
      </c>
      <c r="R207" s="4">
        <v>12.92</v>
      </c>
      <c r="S207" s="4">
        <v>0.98</v>
      </c>
      <c r="T207" s="4">
        <v>-2.9</v>
      </c>
      <c r="U207" s="4">
        <v>-21.31</v>
      </c>
      <c r="V207" s="4">
        <v>0.158</v>
      </c>
      <c r="W207" s="4">
        <v>43.2</v>
      </c>
      <c r="X207" s="4">
        <v>-0.55000000000000004</v>
      </c>
      <c r="Y207" s="4">
        <v>-1</v>
      </c>
      <c r="Z207" s="4">
        <v>-1.04</v>
      </c>
      <c r="AA207" s="4">
        <v>-5</v>
      </c>
      <c r="AB207" s="4">
        <f t="shared" si="15"/>
        <v>6.2595266102839711</v>
      </c>
      <c r="AC207" s="4">
        <f t="shared" si="16"/>
        <v>6.3227144144114229</v>
      </c>
      <c r="AD207" s="4">
        <f t="shared" si="17"/>
        <v>-0.50219832860801172</v>
      </c>
      <c r="AE207" s="4">
        <f t="shared" si="18"/>
        <v>1.4817357433415776</v>
      </c>
      <c r="AF207">
        <f t="shared" si="19"/>
        <v>36.105993285501256</v>
      </c>
      <c r="AG207" t="s">
        <v>497</v>
      </c>
      <c r="AH207" t="s">
        <v>48</v>
      </c>
      <c r="AI207" t="s">
        <v>487</v>
      </c>
      <c r="AJ207" t="s">
        <v>488</v>
      </c>
    </row>
    <row r="208" spans="1:36" x14ac:dyDescent="0.3">
      <c r="A208" t="s">
        <v>751</v>
      </c>
      <c r="B208" t="s">
        <v>331</v>
      </c>
      <c r="C208" t="s">
        <v>484</v>
      </c>
      <c r="D208" s="9" t="s">
        <v>570</v>
      </c>
      <c r="E208" t="s">
        <v>32</v>
      </c>
      <c r="F208" t="s">
        <v>142</v>
      </c>
      <c r="G208" s="4">
        <v>6.95</v>
      </c>
      <c r="H208" s="4">
        <v>550.79999999999995</v>
      </c>
      <c r="I208" s="4">
        <v>308.2</v>
      </c>
      <c r="J208" s="4">
        <v>27</v>
      </c>
      <c r="K208" s="4">
        <v>29.25</v>
      </c>
      <c r="L208" s="4">
        <v>12.97</v>
      </c>
      <c r="M208" s="4">
        <v>21.75</v>
      </c>
      <c r="N208" s="4">
        <v>3.87</v>
      </c>
      <c r="O208" s="4">
        <v>90.55</v>
      </c>
      <c r="P208" s="4">
        <v>35.409999999999997</v>
      </c>
      <c r="Q208" s="4">
        <v>20.170000000000002</v>
      </c>
      <c r="R208" s="4">
        <v>27.95</v>
      </c>
      <c r="S208" s="4">
        <v>0.62</v>
      </c>
      <c r="T208" s="4">
        <v>-3.97</v>
      </c>
      <c r="U208" s="4">
        <v>-22.44</v>
      </c>
      <c r="V208" s="4">
        <v>0.192</v>
      </c>
      <c r="W208" s="4">
        <v>53.3</v>
      </c>
      <c r="X208" s="4">
        <v>-0.9</v>
      </c>
      <c r="Y208" s="4">
        <v>-0.91</v>
      </c>
      <c r="Z208" s="4">
        <v>-1.48</v>
      </c>
      <c r="AA208" s="4">
        <v>-5.16</v>
      </c>
      <c r="AB208" s="4">
        <f t="shared" si="15"/>
        <v>3.5720104882313981</v>
      </c>
      <c r="AC208" s="4">
        <f t="shared" si="16"/>
        <v>3.3861758080818403</v>
      </c>
      <c r="AD208" s="4">
        <f t="shared" si="17"/>
        <v>2.6707344735512679</v>
      </c>
      <c r="AE208" s="4">
        <f t="shared" si="18"/>
        <v>0.84170151186932929</v>
      </c>
      <c r="AF208">
        <f t="shared" si="19"/>
        <v>29.257660561480762</v>
      </c>
      <c r="AG208" t="s">
        <v>486</v>
      </c>
      <c r="AH208" t="s">
        <v>48</v>
      </c>
      <c r="AI208" t="s">
        <v>487</v>
      </c>
      <c r="AJ208" t="s">
        <v>488</v>
      </c>
    </row>
    <row r="209" spans="1:36" x14ac:dyDescent="0.3">
      <c r="A209" t="s">
        <v>752</v>
      </c>
      <c r="B209" t="s">
        <v>331</v>
      </c>
      <c r="C209" t="s">
        <v>490</v>
      </c>
      <c r="D209" s="9" t="s">
        <v>611</v>
      </c>
      <c r="E209" t="s">
        <v>32</v>
      </c>
      <c r="F209" t="s">
        <v>142</v>
      </c>
      <c r="G209" s="4">
        <v>7.63</v>
      </c>
      <c r="H209" s="4">
        <v>850.1</v>
      </c>
      <c r="I209" s="4">
        <v>501.2</v>
      </c>
      <c r="J209" s="4">
        <v>30.2</v>
      </c>
      <c r="K209" s="4">
        <v>48.94</v>
      </c>
      <c r="L209" s="4">
        <v>18.23</v>
      </c>
      <c r="M209" s="4">
        <v>53.46</v>
      </c>
      <c r="N209" s="4">
        <v>7.5</v>
      </c>
      <c r="O209" s="4">
        <v>156.09</v>
      </c>
      <c r="P209" s="4">
        <v>80.31</v>
      </c>
      <c r="Q209" s="4">
        <v>41.06</v>
      </c>
      <c r="R209" s="4">
        <v>36.11</v>
      </c>
      <c r="S209" s="4">
        <v>1.21</v>
      </c>
      <c r="T209" s="4">
        <v>-3.24</v>
      </c>
      <c r="U209" s="4">
        <v>-20.74</v>
      </c>
      <c r="V209" s="4">
        <v>0.20399999999999999</v>
      </c>
      <c r="W209" s="4">
        <v>46.2</v>
      </c>
      <c r="X209" s="4">
        <v>0.42</v>
      </c>
      <c r="Y209" s="4">
        <v>0.32</v>
      </c>
      <c r="Z209" s="4">
        <v>-0.72</v>
      </c>
      <c r="AA209" s="4">
        <v>-5.21</v>
      </c>
      <c r="AB209" s="4">
        <f t="shared" si="15"/>
        <v>6.4596261675446538</v>
      </c>
      <c r="AC209" s="4">
        <f t="shared" si="16"/>
        <v>6.3243806571148999</v>
      </c>
      <c r="AD209" s="4">
        <f t="shared" si="17"/>
        <v>1.0579273954146653</v>
      </c>
      <c r="AE209" s="4">
        <f t="shared" si="18"/>
        <v>1.6563297649985915</v>
      </c>
      <c r="AF209">
        <f t="shared" si="19"/>
        <v>38.969525575486145</v>
      </c>
      <c r="AG209" t="s">
        <v>606</v>
      </c>
      <c r="AH209" t="s">
        <v>48</v>
      </c>
      <c r="AI209" t="s">
        <v>487</v>
      </c>
      <c r="AJ209" t="s">
        <v>488</v>
      </c>
    </row>
    <row r="210" spans="1:36" x14ac:dyDescent="0.3">
      <c r="A210" t="s">
        <v>753</v>
      </c>
      <c r="B210" t="s">
        <v>333</v>
      </c>
      <c r="C210" t="s">
        <v>484</v>
      </c>
      <c r="D210" s="9" t="s">
        <v>570</v>
      </c>
      <c r="E210" t="s">
        <v>32</v>
      </c>
      <c r="F210" t="s">
        <v>277</v>
      </c>
      <c r="G210" s="4">
        <v>7.27</v>
      </c>
      <c r="H210" s="4">
        <v>524.1</v>
      </c>
      <c r="I210" s="4">
        <v>370</v>
      </c>
      <c r="J210" s="4">
        <v>29.1</v>
      </c>
      <c r="K210" s="4">
        <v>25.68</v>
      </c>
      <c r="L210" s="4">
        <v>10.25</v>
      </c>
      <c r="M210" s="4">
        <v>42.59</v>
      </c>
      <c r="N210" s="4">
        <v>3.86</v>
      </c>
      <c r="O210" s="4">
        <v>114.78</v>
      </c>
      <c r="P210" s="4">
        <v>40.6</v>
      </c>
      <c r="Q210" s="4">
        <v>24.46</v>
      </c>
      <c r="R210" s="4">
        <v>44.51</v>
      </c>
      <c r="S210" s="4">
        <v>1.36</v>
      </c>
      <c r="T210" s="4">
        <v>-3.68</v>
      </c>
      <c r="U210" s="4">
        <v>-23.71</v>
      </c>
      <c r="V210" s="4">
        <v>0.13800000000000001</v>
      </c>
      <c r="W210" s="4">
        <v>53.1</v>
      </c>
      <c r="X210" s="4">
        <v>-0.33</v>
      </c>
      <c r="Y210" s="4">
        <v>-0.43</v>
      </c>
      <c r="Z210" s="4">
        <v>-1.19</v>
      </c>
      <c r="AA210" s="4">
        <v>-4.95</v>
      </c>
      <c r="AB210" s="4">
        <f t="shared" si="15"/>
        <v>4.0763003692622375</v>
      </c>
      <c r="AC210" s="4">
        <f t="shared" si="16"/>
        <v>4.3250220703321336</v>
      </c>
      <c r="AD210" s="4">
        <f t="shared" si="17"/>
        <v>-2.960506549512993</v>
      </c>
      <c r="AE210" s="4">
        <f t="shared" si="18"/>
        <v>1.7973320134741937</v>
      </c>
      <c r="AF210">
        <f t="shared" si="19"/>
        <v>47.870649102117135</v>
      </c>
      <c r="AG210" t="s">
        <v>521</v>
      </c>
      <c r="AH210" t="s">
        <v>500</v>
      </c>
      <c r="AI210" t="s">
        <v>487</v>
      </c>
      <c r="AJ210" t="s">
        <v>488</v>
      </c>
    </row>
    <row r="211" spans="1:36" x14ac:dyDescent="0.3">
      <c r="A211" t="s">
        <v>754</v>
      </c>
      <c r="B211" t="s">
        <v>333</v>
      </c>
      <c r="C211" t="s">
        <v>490</v>
      </c>
      <c r="D211" s="9" t="s">
        <v>532</v>
      </c>
      <c r="E211" t="s">
        <v>32</v>
      </c>
      <c r="F211" t="s">
        <v>277</v>
      </c>
      <c r="G211" s="4">
        <v>7.41</v>
      </c>
      <c r="H211" s="4">
        <v>996.2</v>
      </c>
      <c r="I211" s="4">
        <v>588</v>
      </c>
      <c r="J211" s="4">
        <v>28.8</v>
      </c>
      <c r="K211" s="4">
        <v>45.35</v>
      </c>
      <c r="L211" s="4">
        <v>20.18</v>
      </c>
      <c r="M211" s="4">
        <v>64.75</v>
      </c>
      <c r="N211" s="4">
        <v>5.5</v>
      </c>
      <c r="O211" s="4">
        <v>199.61</v>
      </c>
      <c r="P211" s="4">
        <v>89.91</v>
      </c>
      <c r="Q211" s="4">
        <v>35.76</v>
      </c>
      <c r="R211" s="4">
        <v>55.91</v>
      </c>
      <c r="S211" s="4">
        <v>2.4700000000000002</v>
      </c>
      <c r="T211" s="4">
        <v>-4.25</v>
      </c>
      <c r="U211" s="4">
        <v>-31.93</v>
      </c>
      <c r="V211" s="4">
        <v>0.24099999999999999</v>
      </c>
      <c r="W211" s="4">
        <v>63.2</v>
      </c>
      <c r="X211" s="4">
        <v>0.13</v>
      </c>
      <c r="Y211" s="4">
        <v>-7.0000000000000007E-2</v>
      </c>
      <c r="Z211" s="4">
        <v>-1.1399999999999999</v>
      </c>
      <c r="AA211" s="4">
        <v>-5.36</v>
      </c>
      <c r="AB211" s="4">
        <f t="shared" si="15"/>
        <v>6.8808872514230313</v>
      </c>
      <c r="AC211" s="4">
        <f t="shared" si="16"/>
        <v>7.5837219035242143</v>
      </c>
      <c r="AD211" s="4">
        <f t="shared" si="17"/>
        <v>-4.8589951140214289</v>
      </c>
      <c r="AE211" s="4">
        <f t="shared" si="18"/>
        <v>2.0108956016770003</v>
      </c>
      <c r="AF211">
        <f t="shared" si="19"/>
        <v>42.977547705006515</v>
      </c>
      <c r="AG211" t="s">
        <v>521</v>
      </c>
      <c r="AH211" t="s">
        <v>506</v>
      </c>
      <c r="AI211" t="s">
        <v>487</v>
      </c>
      <c r="AJ211" t="s">
        <v>488</v>
      </c>
    </row>
    <row r="212" spans="1:36" x14ac:dyDescent="0.3">
      <c r="A212" t="s">
        <v>755</v>
      </c>
      <c r="B212" t="s">
        <v>335</v>
      </c>
      <c r="C212" t="s">
        <v>484</v>
      </c>
      <c r="D212" s="9" t="s">
        <v>649</v>
      </c>
      <c r="E212" t="s">
        <v>32</v>
      </c>
      <c r="F212" t="s">
        <v>277</v>
      </c>
      <c r="G212" s="4">
        <v>7.05</v>
      </c>
      <c r="H212" s="4">
        <v>618.1</v>
      </c>
      <c r="I212" s="4">
        <v>388</v>
      </c>
      <c r="J212" s="4">
        <v>29.7</v>
      </c>
      <c r="K212" s="4">
        <v>32.4</v>
      </c>
      <c r="L212" s="4">
        <v>10.39</v>
      </c>
      <c r="M212" s="4">
        <v>42.7</v>
      </c>
      <c r="N212" s="4">
        <v>4.2699999999999996</v>
      </c>
      <c r="O212" s="4">
        <v>119.2</v>
      </c>
      <c r="P212" s="4">
        <v>59.84</v>
      </c>
      <c r="Q212" s="4">
        <v>26.87</v>
      </c>
      <c r="R212" s="4">
        <v>21.07</v>
      </c>
      <c r="S212" s="4">
        <v>2.58</v>
      </c>
      <c r="T212" s="4">
        <v>-3.9</v>
      </c>
      <c r="U212" s="4">
        <v>-19.52</v>
      </c>
      <c r="V212" s="4">
        <v>0.24</v>
      </c>
      <c r="W212" s="4">
        <v>55</v>
      </c>
      <c r="X212" s="4">
        <v>-0.18</v>
      </c>
      <c r="Y212" s="4">
        <v>-0.39</v>
      </c>
      <c r="Z212" s="4">
        <v>-0.96</v>
      </c>
      <c r="AA212" s="4">
        <v>-5.07</v>
      </c>
      <c r="AB212" s="4">
        <f t="shared" si="15"/>
        <v>4.4384380747568617</v>
      </c>
      <c r="AC212" s="4">
        <f t="shared" si="16"/>
        <v>4.6765120280219987</v>
      </c>
      <c r="AD212" s="4">
        <f t="shared" si="17"/>
        <v>-2.6119062702554543</v>
      </c>
      <c r="AE212" s="4">
        <f t="shared" si="18"/>
        <v>1.6707627649551284</v>
      </c>
      <c r="AF212">
        <f t="shared" si="19"/>
        <v>44.308893804864738</v>
      </c>
      <c r="AG212" t="s">
        <v>606</v>
      </c>
      <c r="AH212" t="s">
        <v>48</v>
      </c>
      <c r="AI212" t="s">
        <v>487</v>
      </c>
      <c r="AJ212" t="s">
        <v>488</v>
      </c>
    </row>
    <row r="213" spans="1:36" x14ac:dyDescent="0.3">
      <c r="A213" t="s">
        <v>756</v>
      </c>
      <c r="B213" t="s">
        <v>335</v>
      </c>
      <c r="C213" t="s">
        <v>490</v>
      </c>
      <c r="D213" s="9" t="s">
        <v>491</v>
      </c>
      <c r="E213" t="s">
        <v>32</v>
      </c>
      <c r="F213" t="s">
        <v>277</v>
      </c>
      <c r="G213" s="4">
        <v>7.36</v>
      </c>
      <c r="H213" s="4">
        <v>888.5</v>
      </c>
      <c r="I213" s="4">
        <v>583</v>
      </c>
      <c r="J213" s="4">
        <v>29.4</v>
      </c>
      <c r="K213" s="4">
        <v>50.32</v>
      </c>
      <c r="L213" s="4">
        <v>19.059999999999999</v>
      </c>
      <c r="M213" s="4">
        <v>71.12</v>
      </c>
      <c r="N213" s="4">
        <v>6.9</v>
      </c>
      <c r="O213" s="4">
        <v>208.04</v>
      </c>
      <c r="P213" s="4">
        <v>91.32</v>
      </c>
      <c r="Q213" s="4">
        <v>34.75</v>
      </c>
      <c r="R213" s="4">
        <v>40.229999999999997</v>
      </c>
      <c r="S213" s="4">
        <v>3.38</v>
      </c>
      <c r="T213" s="4">
        <v>-3.19</v>
      </c>
      <c r="U213" s="4">
        <v>-19.489999999999998</v>
      </c>
      <c r="V213" s="4">
        <v>0.26300000000000001</v>
      </c>
      <c r="W213" s="4">
        <v>55.2</v>
      </c>
      <c r="X213" s="4">
        <v>0.4</v>
      </c>
      <c r="Y213" s="4">
        <v>-0.05</v>
      </c>
      <c r="Z213" s="4">
        <v>-0.98</v>
      </c>
      <c r="AA213" s="4">
        <v>-4.0999999999999996</v>
      </c>
      <c r="AB213" s="4">
        <f t="shared" si="15"/>
        <v>7.3496380137104236</v>
      </c>
      <c r="AC213" s="4">
        <f t="shared" si="16"/>
        <v>7.5356413656078303</v>
      </c>
      <c r="AD213" s="4">
        <f t="shared" si="17"/>
        <v>-1.2495791792516939</v>
      </c>
      <c r="AE213" s="4">
        <f t="shared" si="18"/>
        <v>2.1661221101342867</v>
      </c>
      <c r="AF213">
        <f t="shared" si="19"/>
        <v>44.493798139110325</v>
      </c>
      <c r="AG213" t="s">
        <v>521</v>
      </c>
      <c r="AH213" t="s">
        <v>48</v>
      </c>
      <c r="AI213" t="s">
        <v>487</v>
      </c>
      <c r="AJ213" t="s">
        <v>488</v>
      </c>
    </row>
    <row r="214" spans="1:36" x14ac:dyDescent="0.3">
      <c r="A214" t="s">
        <v>757</v>
      </c>
      <c r="B214" t="s">
        <v>337</v>
      </c>
      <c r="C214" t="s">
        <v>484</v>
      </c>
      <c r="D214" s="9" t="s">
        <v>512</v>
      </c>
      <c r="E214" t="s">
        <v>32</v>
      </c>
      <c r="F214" t="s">
        <v>142</v>
      </c>
      <c r="G214" s="4">
        <v>7.29</v>
      </c>
      <c r="H214" s="4">
        <v>626.6</v>
      </c>
      <c r="I214" s="4">
        <v>391.4</v>
      </c>
      <c r="J214" s="4">
        <v>29.4</v>
      </c>
      <c r="K214" s="4">
        <v>37.61</v>
      </c>
      <c r="L214" s="4">
        <v>13.7</v>
      </c>
      <c r="M214" s="4">
        <v>36.299999999999997</v>
      </c>
      <c r="N214" s="4">
        <v>4.84</v>
      </c>
      <c r="O214" s="4">
        <v>120.3</v>
      </c>
      <c r="P214" s="4">
        <v>64.09</v>
      </c>
      <c r="Q214" s="4">
        <v>36.15</v>
      </c>
      <c r="R214" s="4">
        <v>12.83</v>
      </c>
      <c r="S214" s="4">
        <v>1.3</v>
      </c>
      <c r="T214" s="4">
        <v>-3.28</v>
      </c>
      <c r="U214" s="4">
        <v>-21.37</v>
      </c>
      <c r="V214" s="4">
        <v>0.193</v>
      </c>
      <c r="W214" s="4">
        <v>54.2</v>
      </c>
      <c r="X214" s="4">
        <v>-0.51</v>
      </c>
      <c r="Y214" s="4">
        <v>-1</v>
      </c>
      <c r="Z214" s="4">
        <v>-1.03</v>
      </c>
      <c r="AA214" s="4">
        <v>-4.8899999999999997</v>
      </c>
      <c r="AB214" s="4">
        <f t="shared" si="15"/>
        <v>4.7069877646129088</v>
      </c>
      <c r="AC214" s="4">
        <f t="shared" si="16"/>
        <v>4.8073614457838802</v>
      </c>
      <c r="AD214" s="4">
        <f t="shared" si="17"/>
        <v>-1.0549715902931993</v>
      </c>
      <c r="AE214" s="4">
        <f t="shared" si="18"/>
        <v>1.2883639130666396</v>
      </c>
      <c r="AF214">
        <f t="shared" si="19"/>
        <v>36.176162645735964</v>
      </c>
      <c r="AG214" t="s">
        <v>608</v>
      </c>
      <c r="AH214" t="s">
        <v>48</v>
      </c>
      <c r="AI214" t="s">
        <v>487</v>
      </c>
      <c r="AJ214" t="s">
        <v>488</v>
      </c>
    </row>
    <row r="215" spans="1:36" x14ac:dyDescent="0.3">
      <c r="A215" t="s">
        <v>758</v>
      </c>
      <c r="B215" t="s">
        <v>337</v>
      </c>
      <c r="C215" t="s">
        <v>490</v>
      </c>
      <c r="D215" s="9" t="s">
        <v>510</v>
      </c>
      <c r="E215" t="s">
        <v>32</v>
      </c>
      <c r="F215" t="s">
        <v>142</v>
      </c>
      <c r="G215" s="4">
        <v>7.17</v>
      </c>
      <c r="H215" s="4">
        <v>914.4</v>
      </c>
      <c r="I215" s="4">
        <v>644.20000000000005</v>
      </c>
      <c r="J215" s="4">
        <v>30.2</v>
      </c>
      <c r="K215" s="4">
        <v>64.819999999999993</v>
      </c>
      <c r="L215" s="4">
        <v>23.31</v>
      </c>
      <c r="M215" s="4">
        <v>65.53</v>
      </c>
      <c r="N215" s="4">
        <v>6.78</v>
      </c>
      <c r="O215" s="4">
        <v>226.68</v>
      </c>
      <c r="P215" s="4">
        <v>99.48</v>
      </c>
      <c r="Q215" s="4">
        <v>59.8</v>
      </c>
      <c r="R215" s="4">
        <v>38.53</v>
      </c>
      <c r="S215" s="4">
        <v>2.0499999999999998</v>
      </c>
      <c r="T215" s="4">
        <v>-2.4500000000000002</v>
      </c>
      <c r="U215" s="4">
        <v>-16</v>
      </c>
      <c r="V215" s="4">
        <v>0.21199999999999999</v>
      </c>
      <c r="W215" s="4">
        <v>58.4</v>
      </c>
      <c r="X215" s="4">
        <v>-0.24</v>
      </c>
      <c r="Y215" s="4">
        <v>-0.56000000000000005</v>
      </c>
      <c r="Z215" s="4">
        <v>-1</v>
      </c>
      <c r="AA215" s="4">
        <v>-4.7300000000000004</v>
      </c>
      <c r="AB215" s="4">
        <f t="shared" si="15"/>
        <v>8.1767203117577729</v>
      </c>
      <c r="AC215" s="4">
        <f t="shared" si="16"/>
        <v>8.4954233602202365</v>
      </c>
      <c r="AD215" s="4">
        <f t="shared" si="17"/>
        <v>-1.9115901034258069</v>
      </c>
      <c r="AE215" s="4">
        <f t="shared" si="18"/>
        <v>1.7758764989898672</v>
      </c>
      <c r="AF215">
        <f t="shared" si="19"/>
        <v>36.981870526513838</v>
      </c>
      <c r="AG215" t="s">
        <v>497</v>
      </c>
      <c r="AH215" t="s">
        <v>48</v>
      </c>
      <c r="AI215" t="s">
        <v>487</v>
      </c>
      <c r="AJ215" t="s">
        <v>488</v>
      </c>
    </row>
    <row r="216" spans="1:36" x14ac:dyDescent="0.3">
      <c r="A216" t="s">
        <v>759</v>
      </c>
      <c r="B216" t="s">
        <v>339</v>
      </c>
      <c r="C216" t="s">
        <v>484</v>
      </c>
      <c r="D216" s="9" t="s">
        <v>508</v>
      </c>
      <c r="E216" t="s">
        <v>32</v>
      </c>
      <c r="F216" t="s">
        <v>101</v>
      </c>
      <c r="G216" s="4">
        <v>7.3</v>
      </c>
      <c r="H216" s="4">
        <v>743.4</v>
      </c>
      <c r="I216" s="4">
        <v>437.8</v>
      </c>
      <c r="J216" s="4">
        <v>29.5</v>
      </c>
      <c r="K216" s="4">
        <v>34.409999999999997</v>
      </c>
      <c r="L216" s="4">
        <v>13.42</v>
      </c>
      <c r="M216" s="4">
        <v>45.18</v>
      </c>
      <c r="N216" s="4">
        <v>4.78</v>
      </c>
      <c r="O216" s="4">
        <v>133.12</v>
      </c>
      <c r="P216" s="4">
        <v>53.3</v>
      </c>
      <c r="Q216" s="4">
        <v>32.99</v>
      </c>
      <c r="R216" s="4">
        <v>41.63</v>
      </c>
      <c r="S216" s="4">
        <v>3.29</v>
      </c>
      <c r="T216" s="4">
        <v>-4.51</v>
      </c>
      <c r="U216" s="4">
        <v>-28.63</v>
      </c>
      <c r="V216" s="4">
        <v>0.19</v>
      </c>
      <c r="W216" s="4">
        <v>70.400000000000006</v>
      </c>
      <c r="X216" s="4">
        <v>-0.95</v>
      </c>
      <c r="Y216" s="4">
        <v>-1.24</v>
      </c>
      <c r="Z216" s="4">
        <v>-1.1599999999999999</v>
      </c>
      <c r="AA216" s="4">
        <v>-5.52</v>
      </c>
      <c r="AB216" s="4">
        <f t="shared" si="15"/>
        <v>4.9089957205642678</v>
      </c>
      <c r="AC216" s="4">
        <f t="shared" si="16"/>
        <v>5.2165587451467683</v>
      </c>
      <c r="AD216" s="4">
        <f t="shared" si="17"/>
        <v>-3.0374931627105006</v>
      </c>
      <c r="AE216" s="4">
        <f t="shared" si="18"/>
        <v>1.6546451921538132</v>
      </c>
      <c r="AF216">
        <f t="shared" si="19"/>
        <v>42.524882034511123</v>
      </c>
      <c r="AG216" t="s">
        <v>492</v>
      </c>
      <c r="AH216" t="s">
        <v>48</v>
      </c>
      <c r="AI216" t="s">
        <v>487</v>
      </c>
      <c r="AJ216" t="s">
        <v>488</v>
      </c>
    </row>
    <row r="217" spans="1:36" x14ac:dyDescent="0.3">
      <c r="A217" t="s">
        <v>760</v>
      </c>
      <c r="B217" t="s">
        <v>339</v>
      </c>
      <c r="C217" t="s">
        <v>490</v>
      </c>
      <c r="D217" s="9" t="s">
        <v>658</v>
      </c>
      <c r="E217" t="s">
        <v>32</v>
      </c>
      <c r="F217" t="s">
        <v>101</v>
      </c>
      <c r="G217" s="4">
        <v>7.43</v>
      </c>
      <c r="H217" s="4">
        <v>974.6</v>
      </c>
      <c r="I217" s="4">
        <v>588.1</v>
      </c>
      <c r="J217" s="4">
        <v>30.3</v>
      </c>
      <c r="K217" s="4">
        <v>52.04</v>
      </c>
      <c r="L217" s="4">
        <v>15.87</v>
      </c>
      <c r="M217" s="4">
        <v>70.36</v>
      </c>
      <c r="N217" s="4">
        <v>5.91</v>
      </c>
      <c r="O217" s="4">
        <v>183</v>
      </c>
      <c r="P217" s="4">
        <v>95.41</v>
      </c>
      <c r="Q217" s="4">
        <v>46.87</v>
      </c>
      <c r="R217" s="4">
        <v>54.09</v>
      </c>
      <c r="S217" s="4">
        <v>3.88</v>
      </c>
      <c r="T217" s="4">
        <v>-2.99</v>
      </c>
      <c r="U217" s="4">
        <v>-18.850000000000001</v>
      </c>
      <c r="V217" s="4">
        <v>0.193</v>
      </c>
      <c r="W217" s="4">
        <v>66.599999999999994</v>
      </c>
      <c r="X217" s="4">
        <v>-0.01</v>
      </c>
      <c r="Y217" s="4">
        <v>-0.31</v>
      </c>
      <c r="Z217" s="4">
        <v>-0.9</v>
      </c>
      <c r="AA217" s="4">
        <v>-4.78</v>
      </c>
      <c r="AB217" s="4">
        <f t="shared" si="15"/>
        <v>7.1145929340652057</v>
      </c>
      <c r="AC217" s="4">
        <f t="shared" si="16"/>
        <v>7.7428127740014752</v>
      </c>
      <c r="AD217" s="4">
        <f t="shared" si="17"/>
        <v>-4.2283279616924228</v>
      </c>
      <c r="AE217" s="4">
        <f t="shared" si="18"/>
        <v>2.1909394157160214</v>
      </c>
      <c r="AF217">
        <f t="shared" si="19"/>
        <v>45.143170579533681</v>
      </c>
      <c r="AG217" t="s">
        <v>606</v>
      </c>
      <c r="AH217" t="s">
        <v>506</v>
      </c>
      <c r="AI217" t="s">
        <v>487</v>
      </c>
      <c r="AJ217" t="s">
        <v>488</v>
      </c>
    </row>
    <row r="218" spans="1:36" x14ac:dyDescent="0.3">
      <c r="A218" t="s">
        <v>761</v>
      </c>
      <c r="B218" t="s">
        <v>341</v>
      </c>
      <c r="C218" t="s">
        <v>484</v>
      </c>
      <c r="D218" s="9" t="s">
        <v>504</v>
      </c>
      <c r="E218" t="s">
        <v>32</v>
      </c>
      <c r="F218" t="s">
        <v>142</v>
      </c>
      <c r="G218" s="4">
        <v>7.6</v>
      </c>
      <c r="H218" s="4">
        <v>574.5</v>
      </c>
      <c r="I218" s="4">
        <v>366.2</v>
      </c>
      <c r="J218" s="4">
        <v>28.4</v>
      </c>
      <c r="K218" s="4">
        <v>29.05</v>
      </c>
      <c r="L218" s="4">
        <v>15.42</v>
      </c>
      <c r="M218" s="4">
        <v>36.35</v>
      </c>
      <c r="N218" s="4">
        <v>3.82</v>
      </c>
      <c r="O218" s="4">
        <v>128.25</v>
      </c>
      <c r="P218" s="4">
        <v>45.41</v>
      </c>
      <c r="Q218" s="4">
        <v>35.909999999999997</v>
      </c>
      <c r="R218" s="4">
        <v>8.9700000000000006</v>
      </c>
      <c r="S218" s="4">
        <v>0.92</v>
      </c>
      <c r="T218" s="4">
        <v>-4.2699999999999996</v>
      </c>
      <c r="U218" s="4">
        <v>-25.21</v>
      </c>
      <c r="V218" s="4">
        <v>0.19600000000000001</v>
      </c>
      <c r="W218" s="4">
        <v>57.3</v>
      </c>
      <c r="X218" s="4">
        <v>-0.59</v>
      </c>
      <c r="Y218" s="4">
        <v>-1.33</v>
      </c>
      <c r="Z218" s="4">
        <v>-1.05</v>
      </c>
      <c r="AA218" s="4">
        <v>-5.12</v>
      </c>
      <c r="AB218" s="4">
        <f t="shared" si="15"/>
        <v>4.397442066237085</v>
      </c>
      <c r="AC218" s="4">
        <f t="shared" si="16"/>
        <v>4.3235082502157214</v>
      </c>
      <c r="AD218" s="4">
        <f t="shared" si="17"/>
        <v>0.84777247133126366</v>
      </c>
      <c r="AE218" s="4">
        <f t="shared" si="18"/>
        <v>1.3562221767240257</v>
      </c>
      <c r="AF218">
        <f t="shared" si="19"/>
        <v>38.178881868823062</v>
      </c>
      <c r="AG218" t="s">
        <v>492</v>
      </c>
      <c r="AH218" t="s">
        <v>48</v>
      </c>
      <c r="AI218" t="s">
        <v>487</v>
      </c>
      <c r="AJ218" t="s">
        <v>488</v>
      </c>
    </row>
    <row r="219" spans="1:36" x14ac:dyDescent="0.3">
      <c r="A219" t="s">
        <v>762</v>
      </c>
      <c r="B219" t="s">
        <v>341</v>
      </c>
      <c r="C219" t="s">
        <v>490</v>
      </c>
      <c r="D219" s="9" t="s">
        <v>604</v>
      </c>
      <c r="E219" t="s">
        <v>32</v>
      </c>
      <c r="F219" t="s">
        <v>142</v>
      </c>
      <c r="G219" s="4">
        <v>7.35</v>
      </c>
      <c r="H219" s="4">
        <v>819.3</v>
      </c>
      <c r="I219" s="4">
        <v>537.4</v>
      </c>
      <c r="J219" s="4">
        <v>29.9</v>
      </c>
      <c r="K219" s="4">
        <v>39.700000000000003</v>
      </c>
      <c r="L219" s="4">
        <v>19.55</v>
      </c>
      <c r="M219" s="4">
        <v>73.540000000000006</v>
      </c>
      <c r="N219" s="4">
        <v>5.54</v>
      </c>
      <c r="O219" s="4">
        <v>166.47</v>
      </c>
      <c r="P219" s="4">
        <v>101.28</v>
      </c>
      <c r="Q219" s="4">
        <v>47.07</v>
      </c>
      <c r="R219" s="4">
        <v>23.21</v>
      </c>
      <c r="S219" s="4">
        <v>1.93</v>
      </c>
      <c r="T219" s="4">
        <v>-3.31</v>
      </c>
      <c r="U219" s="4">
        <v>-21.42</v>
      </c>
      <c r="V219" s="4">
        <v>0.20499999999999999</v>
      </c>
      <c r="W219" s="4">
        <v>49.4</v>
      </c>
      <c r="X219" s="4">
        <v>-0.05</v>
      </c>
      <c r="Y219" s="4">
        <v>-0.17</v>
      </c>
      <c r="Z219" s="4">
        <v>-1.28</v>
      </c>
      <c r="AA219" s="4">
        <v>-4.47</v>
      </c>
      <c r="AB219" s="4">
        <f t="shared" si="15"/>
        <v>6.9304757189290518</v>
      </c>
      <c r="AC219" s="4">
        <f t="shared" si="16"/>
        <v>7.0409680708898685</v>
      </c>
      <c r="AD219" s="4">
        <f t="shared" si="17"/>
        <v>-0.79084419350656676</v>
      </c>
      <c r="AE219" s="4">
        <f t="shared" si="18"/>
        <v>2.3877003954993419</v>
      </c>
      <c r="AF219">
        <f t="shared" si="19"/>
        <v>48.201834708790777</v>
      </c>
      <c r="AG219" t="s">
        <v>763</v>
      </c>
      <c r="AH219" t="s">
        <v>733</v>
      </c>
      <c r="AI219" t="s">
        <v>487</v>
      </c>
      <c r="AJ219" t="s">
        <v>488</v>
      </c>
    </row>
    <row r="220" spans="1:36" x14ac:dyDescent="0.3">
      <c r="A220" t="s">
        <v>764</v>
      </c>
      <c r="B220" t="s">
        <v>343</v>
      </c>
      <c r="C220" t="s">
        <v>484</v>
      </c>
      <c r="D220" s="9" t="s">
        <v>570</v>
      </c>
      <c r="E220" t="s">
        <v>32</v>
      </c>
      <c r="F220" t="s">
        <v>277</v>
      </c>
      <c r="G220" s="4">
        <v>7.19</v>
      </c>
      <c r="H220" s="4">
        <v>563</v>
      </c>
      <c r="I220" s="4">
        <v>335.3</v>
      </c>
      <c r="J220" s="4">
        <v>28.7</v>
      </c>
      <c r="K220" s="4">
        <v>25.74</v>
      </c>
      <c r="L220" s="4">
        <v>13.48</v>
      </c>
      <c r="M220" s="4">
        <v>29.12</v>
      </c>
      <c r="N220" s="4">
        <v>3.28</v>
      </c>
      <c r="O220" s="4">
        <v>111.99</v>
      </c>
      <c r="P220" s="4">
        <v>36.869999999999997</v>
      </c>
      <c r="Q220" s="4">
        <v>29.16</v>
      </c>
      <c r="R220" s="4">
        <v>20.100000000000001</v>
      </c>
      <c r="S220" s="4">
        <v>0.99</v>
      </c>
      <c r="T220" s="4">
        <v>-4.26</v>
      </c>
      <c r="U220" s="4">
        <v>-26.17</v>
      </c>
      <c r="V220" s="4">
        <v>0.155</v>
      </c>
      <c r="W220" s="4">
        <v>58.3</v>
      </c>
      <c r="X220" s="4">
        <v>0.12</v>
      </c>
      <c r="Y220" s="4">
        <v>-0.2</v>
      </c>
      <c r="Z220" s="4">
        <v>-0.97</v>
      </c>
      <c r="AA220" s="4">
        <v>-4.45</v>
      </c>
      <c r="AB220" s="4">
        <f t="shared" si="15"/>
        <v>3.7443165421229536</v>
      </c>
      <c r="AC220" s="4">
        <f t="shared" si="16"/>
        <v>3.8587878533472</v>
      </c>
      <c r="AD220" s="4">
        <f t="shared" si="17"/>
        <v>-1.5055864719212211</v>
      </c>
      <c r="AE220" s="4">
        <f t="shared" si="18"/>
        <v>1.1578399327497535</v>
      </c>
      <c r="AF220">
        <f t="shared" si="19"/>
        <v>36.070255013990909</v>
      </c>
      <c r="AG220" t="s">
        <v>492</v>
      </c>
      <c r="AH220" t="s">
        <v>48</v>
      </c>
      <c r="AI220" t="s">
        <v>487</v>
      </c>
      <c r="AJ220" t="s">
        <v>488</v>
      </c>
    </row>
    <row r="221" spans="1:36" x14ac:dyDescent="0.3">
      <c r="A221" t="s">
        <v>765</v>
      </c>
      <c r="B221" t="s">
        <v>343</v>
      </c>
      <c r="C221" t="s">
        <v>490</v>
      </c>
      <c r="D221" s="9" t="s">
        <v>588</v>
      </c>
      <c r="E221" t="s">
        <v>32</v>
      </c>
      <c r="F221" t="s">
        <v>277</v>
      </c>
      <c r="G221" s="4">
        <v>7.36</v>
      </c>
      <c r="H221" s="4">
        <v>849.9</v>
      </c>
      <c r="I221" s="4">
        <v>495.2</v>
      </c>
      <c r="J221" s="4">
        <v>29.1</v>
      </c>
      <c r="K221" s="4">
        <v>45.4</v>
      </c>
      <c r="L221" s="4">
        <v>15.89</v>
      </c>
      <c r="M221" s="4">
        <v>54.71</v>
      </c>
      <c r="N221" s="4">
        <v>7.69</v>
      </c>
      <c r="O221" s="4">
        <v>186.05</v>
      </c>
      <c r="P221" s="4">
        <v>75.849999999999994</v>
      </c>
      <c r="Q221" s="4">
        <v>21.82</v>
      </c>
      <c r="R221" s="4">
        <v>25.54</v>
      </c>
      <c r="S221" s="4">
        <v>1.1299999999999999</v>
      </c>
      <c r="T221" s="4">
        <v>-3.31</v>
      </c>
      <c r="U221" s="4">
        <v>-21.43</v>
      </c>
      <c r="V221" s="4">
        <v>0.20799999999999999</v>
      </c>
      <c r="W221" s="4">
        <v>50.8</v>
      </c>
      <c r="X221" s="4">
        <v>0.5</v>
      </c>
      <c r="Y221" s="4">
        <v>-0.02</v>
      </c>
      <c r="Z221" s="4">
        <v>-1.05</v>
      </c>
      <c r="AA221" s="4">
        <v>-4.87</v>
      </c>
      <c r="AB221" s="4">
        <f t="shared" si="15"/>
        <v>6.1496510877457071</v>
      </c>
      <c r="AC221" s="4">
        <f t="shared" si="16"/>
        <v>6.1143347140346371</v>
      </c>
      <c r="AD221" s="4">
        <f t="shared" si="17"/>
        <v>0.28796815555627248</v>
      </c>
      <c r="AE221" s="4">
        <f t="shared" si="18"/>
        <v>1.7804800098505527</v>
      </c>
      <c r="AF221">
        <f t="shared" si="19"/>
        <v>41.896996256411022</v>
      </c>
      <c r="AG221" t="s">
        <v>492</v>
      </c>
      <c r="AH221" t="s">
        <v>48</v>
      </c>
      <c r="AI221" t="s">
        <v>487</v>
      </c>
      <c r="AJ221" t="s">
        <v>488</v>
      </c>
    </row>
    <row r="222" spans="1:36" x14ac:dyDescent="0.3">
      <c r="A222" t="s">
        <v>766</v>
      </c>
      <c r="B222" t="s">
        <v>345</v>
      </c>
      <c r="C222" t="s">
        <v>484</v>
      </c>
      <c r="D222" s="9" t="s">
        <v>548</v>
      </c>
      <c r="E222" t="s">
        <v>32</v>
      </c>
      <c r="F222" t="s">
        <v>277</v>
      </c>
      <c r="G222" s="4">
        <v>6.86</v>
      </c>
      <c r="H222" s="4">
        <v>615.29999999999995</v>
      </c>
      <c r="I222" s="4">
        <v>406.6</v>
      </c>
      <c r="J222" s="4">
        <v>29.7</v>
      </c>
      <c r="K222" s="4">
        <v>37.270000000000003</v>
      </c>
      <c r="L222" s="4">
        <v>10.71</v>
      </c>
      <c r="M222" s="4">
        <v>42.28</v>
      </c>
      <c r="N222" s="4">
        <v>4.75</v>
      </c>
      <c r="O222" s="4">
        <v>128.19999999999999</v>
      </c>
      <c r="P222" s="4">
        <v>55.1</v>
      </c>
      <c r="Q222" s="4">
        <v>37.26</v>
      </c>
      <c r="R222" s="4">
        <v>21.37</v>
      </c>
      <c r="S222" s="4">
        <v>0.52</v>
      </c>
      <c r="T222" s="4">
        <v>-3.96</v>
      </c>
      <c r="U222" s="4">
        <v>-20.76</v>
      </c>
      <c r="V222" s="4">
        <v>0.23100000000000001</v>
      </c>
      <c r="W222" s="4">
        <v>54.4</v>
      </c>
      <c r="X222" s="4">
        <v>-0.02</v>
      </c>
      <c r="Y222" s="4">
        <v>-0.36</v>
      </c>
      <c r="Z222" s="4">
        <v>-1.41</v>
      </c>
      <c r="AA222" s="4">
        <v>-4.9800000000000004</v>
      </c>
      <c r="AB222" s="4">
        <f t="shared" si="15"/>
        <v>4.7018034399118287</v>
      </c>
      <c r="AC222" s="4">
        <f t="shared" si="16"/>
        <v>4.8030451790366602</v>
      </c>
      <c r="AD222" s="4">
        <f t="shared" si="17"/>
        <v>-1.0651588803108336</v>
      </c>
      <c r="AE222" s="4">
        <f t="shared" si="18"/>
        <v>1.5709473951775217</v>
      </c>
      <c r="AF222">
        <f t="shared" si="19"/>
        <v>41.699532398514755</v>
      </c>
      <c r="AG222" t="s">
        <v>492</v>
      </c>
      <c r="AH222" t="s">
        <v>48</v>
      </c>
      <c r="AI222" t="s">
        <v>487</v>
      </c>
      <c r="AJ222" t="s">
        <v>488</v>
      </c>
    </row>
    <row r="223" spans="1:36" x14ac:dyDescent="0.3">
      <c r="A223" t="s">
        <v>767</v>
      </c>
      <c r="B223" t="s">
        <v>345</v>
      </c>
      <c r="C223" t="s">
        <v>490</v>
      </c>
      <c r="D223" s="9" t="s">
        <v>597</v>
      </c>
      <c r="E223" t="s">
        <v>32</v>
      </c>
      <c r="F223" t="s">
        <v>277</v>
      </c>
      <c r="G223" s="4">
        <v>7.26</v>
      </c>
      <c r="H223" s="4">
        <v>960.2</v>
      </c>
      <c r="I223" s="4">
        <v>533.70000000000005</v>
      </c>
      <c r="J223" s="4">
        <v>31</v>
      </c>
      <c r="K223" s="4">
        <v>52.84</v>
      </c>
      <c r="L223" s="4">
        <v>19.11</v>
      </c>
      <c r="M223" s="4">
        <v>51.68</v>
      </c>
      <c r="N223" s="4">
        <v>7.02</v>
      </c>
      <c r="O223" s="4">
        <v>167.36</v>
      </c>
      <c r="P223" s="4">
        <v>91.46</v>
      </c>
      <c r="Q223" s="4">
        <v>40.880000000000003</v>
      </c>
      <c r="R223" s="4">
        <v>39.770000000000003</v>
      </c>
      <c r="S223" s="4">
        <v>1.3</v>
      </c>
      <c r="T223" s="4">
        <v>-3.41</v>
      </c>
      <c r="U223" s="4">
        <v>-22.68</v>
      </c>
      <c r="V223" s="4">
        <v>0.183</v>
      </c>
      <c r="W223" s="4">
        <v>52.2</v>
      </c>
      <c r="X223" s="4">
        <v>-0.12</v>
      </c>
      <c r="Y223" s="4">
        <v>-0.28999999999999998</v>
      </c>
      <c r="Z223" s="4">
        <v>-0.93</v>
      </c>
      <c r="AA223" s="4">
        <v>-4.7</v>
      </c>
      <c r="AB223" s="4">
        <f t="shared" si="15"/>
        <v>6.6369545632206455</v>
      </c>
      <c r="AC223" s="4">
        <f t="shared" si="16"/>
        <v>6.8836044726312986</v>
      </c>
      <c r="AD223" s="4">
        <f t="shared" si="17"/>
        <v>-1.8242582185886034</v>
      </c>
      <c r="AE223" s="4">
        <f t="shared" si="18"/>
        <v>1.5495609446242091</v>
      </c>
      <c r="AF223">
        <f t="shared" si="19"/>
        <v>36.576723107292949</v>
      </c>
      <c r="AG223" t="s">
        <v>608</v>
      </c>
      <c r="AH223" t="s">
        <v>48</v>
      </c>
      <c r="AI223" t="s">
        <v>487</v>
      </c>
      <c r="AJ223" t="s">
        <v>488</v>
      </c>
    </row>
    <row r="224" spans="1:36" x14ac:dyDescent="0.3">
      <c r="A224" t="s">
        <v>768</v>
      </c>
      <c r="B224" t="s">
        <v>347</v>
      </c>
      <c r="C224" t="s">
        <v>484</v>
      </c>
      <c r="D224" s="9" t="s">
        <v>539</v>
      </c>
      <c r="E224" t="s">
        <v>32</v>
      </c>
      <c r="F224" t="s">
        <v>101</v>
      </c>
      <c r="G224" s="4">
        <v>7.38</v>
      </c>
      <c r="H224" s="4">
        <v>757.4</v>
      </c>
      <c r="I224" s="4">
        <v>490.8</v>
      </c>
      <c r="J224" s="4">
        <v>29.2</v>
      </c>
      <c r="K224" s="4">
        <v>38.36</v>
      </c>
      <c r="L224" s="4">
        <v>14.16</v>
      </c>
      <c r="M224" s="4">
        <v>42.2</v>
      </c>
      <c r="N224" s="4">
        <v>3.58</v>
      </c>
      <c r="O224" s="4">
        <v>127.89</v>
      </c>
      <c r="P224" s="4">
        <v>58.43</v>
      </c>
      <c r="Q224" s="4">
        <v>27.01</v>
      </c>
      <c r="R224" s="4">
        <v>97.46</v>
      </c>
      <c r="S224" s="4">
        <v>0.92</v>
      </c>
      <c r="T224" s="4">
        <v>-3.91</v>
      </c>
      <c r="U224" s="4">
        <v>-24.58</v>
      </c>
      <c r="V224" s="4">
        <v>8.6999999999999994E-2</v>
      </c>
      <c r="W224" s="4">
        <v>73.5</v>
      </c>
      <c r="X224" s="4">
        <v>7.0000000000000007E-2</v>
      </c>
      <c r="Y224" s="4">
        <v>-0.45</v>
      </c>
      <c r="Z224" s="4">
        <v>-1.21</v>
      </c>
      <c r="AA224" s="4">
        <v>-4.7300000000000004</v>
      </c>
      <c r="AB224" s="4">
        <f t="shared" si="15"/>
        <v>5.0066848454756876</v>
      </c>
      <c r="AC224" s="4">
        <f t="shared" si="16"/>
        <v>5.9266993562295402</v>
      </c>
      <c r="AD224" s="4">
        <f t="shared" si="17"/>
        <v>-8.4147277163310736</v>
      </c>
      <c r="AE224" s="4">
        <f t="shared" si="18"/>
        <v>1.4793472143884425</v>
      </c>
      <c r="AF224">
        <f t="shared" si="19"/>
        <v>38.493042376386704</v>
      </c>
      <c r="AG224" t="s">
        <v>492</v>
      </c>
      <c r="AH224" t="s">
        <v>506</v>
      </c>
      <c r="AI224" t="s">
        <v>542</v>
      </c>
      <c r="AJ224" t="s">
        <v>543</v>
      </c>
    </row>
    <row r="225" spans="1:36" x14ac:dyDescent="0.3">
      <c r="A225" t="s">
        <v>769</v>
      </c>
      <c r="B225" t="s">
        <v>347</v>
      </c>
      <c r="C225" t="s">
        <v>490</v>
      </c>
      <c r="D225" s="9" t="s">
        <v>604</v>
      </c>
      <c r="E225" t="s">
        <v>32</v>
      </c>
      <c r="F225" t="s">
        <v>101</v>
      </c>
      <c r="G225" s="4">
        <v>7.3</v>
      </c>
      <c r="H225" s="4">
        <v>1054.9000000000001</v>
      </c>
      <c r="I225" s="4">
        <v>605.79999999999995</v>
      </c>
      <c r="J225" s="4">
        <v>30.3</v>
      </c>
      <c r="K225" s="4">
        <v>51.64</v>
      </c>
      <c r="L225" s="4">
        <v>15.94</v>
      </c>
      <c r="M225" s="4">
        <v>54.14</v>
      </c>
      <c r="N225" s="4">
        <v>6.93</v>
      </c>
      <c r="O225" s="4">
        <v>185.36</v>
      </c>
      <c r="P225" s="4">
        <v>89.5</v>
      </c>
      <c r="Q225" s="4">
        <v>37.01</v>
      </c>
      <c r="R225" s="4">
        <v>95.24</v>
      </c>
      <c r="S225" s="4">
        <v>1.52</v>
      </c>
      <c r="T225" s="4">
        <v>-3.34</v>
      </c>
      <c r="U225" s="4">
        <v>-19.79</v>
      </c>
      <c r="V225" s="4">
        <v>0.20300000000000001</v>
      </c>
      <c r="W225" s="4">
        <v>61.2</v>
      </c>
      <c r="X225" s="4">
        <v>-0.36</v>
      </c>
      <c r="Y225" s="4">
        <v>-0.51</v>
      </c>
      <c r="Z225" s="4">
        <v>-0.9</v>
      </c>
      <c r="AA225" s="4">
        <v>-4.99</v>
      </c>
      <c r="AB225" s="4">
        <f t="shared" si="15"/>
        <v>6.4209254502133986</v>
      </c>
      <c r="AC225" s="4">
        <f t="shared" si="16"/>
        <v>7.9489368425238141</v>
      </c>
      <c r="AD225" s="4">
        <f t="shared" si="17"/>
        <v>-10.63344492231286</v>
      </c>
      <c r="AE225" s="4">
        <f t="shared" si="18"/>
        <v>1.6889404844444362</v>
      </c>
      <c r="AF225">
        <f t="shared" si="19"/>
        <v>39.438026563139388</v>
      </c>
      <c r="AG225" t="s">
        <v>608</v>
      </c>
      <c r="AH225" t="s">
        <v>506</v>
      </c>
      <c r="AI225" t="s">
        <v>516</v>
      </c>
      <c r="AJ225" t="s">
        <v>517</v>
      </c>
    </row>
    <row r="226" spans="1:36" x14ac:dyDescent="0.3">
      <c r="A226" t="s">
        <v>770</v>
      </c>
      <c r="B226" t="s">
        <v>349</v>
      </c>
      <c r="C226" t="s">
        <v>484</v>
      </c>
      <c r="D226" s="9" t="s">
        <v>649</v>
      </c>
      <c r="E226" t="s">
        <v>32</v>
      </c>
      <c r="F226" t="s">
        <v>142</v>
      </c>
      <c r="G226" s="4">
        <v>6.98</v>
      </c>
      <c r="H226" s="4">
        <v>665.6</v>
      </c>
      <c r="I226" s="4">
        <v>404.6</v>
      </c>
      <c r="J226" s="4">
        <v>30</v>
      </c>
      <c r="K226" s="4">
        <v>40.18</v>
      </c>
      <c r="L226" s="4">
        <v>10.93</v>
      </c>
      <c r="M226" s="4">
        <v>39.25</v>
      </c>
      <c r="N226" s="4">
        <v>4.63</v>
      </c>
      <c r="O226" s="4">
        <v>123.06</v>
      </c>
      <c r="P226" s="4">
        <v>60.44</v>
      </c>
      <c r="Q226" s="4">
        <v>40.47</v>
      </c>
      <c r="R226" s="4">
        <v>15.02</v>
      </c>
      <c r="S226" s="4">
        <v>1.03</v>
      </c>
      <c r="T226" s="4">
        <v>-3.53</v>
      </c>
      <c r="U226" s="4">
        <v>-17.87</v>
      </c>
      <c r="V226" s="4">
        <v>0.192</v>
      </c>
      <c r="W226" s="4">
        <v>49.6</v>
      </c>
      <c r="X226" s="4">
        <v>-0.65</v>
      </c>
      <c r="Y226" s="4">
        <v>-0.78</v>
      </c>
      <c r="Z226" s="4">
        <v>-0.69</v>
      </c>
      <c r="AA226" s="4">
        <v>-5.1100000000000003</v>
      </c>
      <c r="AB226" s="4">
        <f t="shared" si="15"/>
        <v>4.7302521610759793</v>
      </c>
      <c r="AC226" s="4">
        <f t="shared" si="16"/>
        <v>4.86069382916385</v>
      </c>
      <c r="AD226" s="4">
        <f t="shared" si="17"/>
        <v>-1.3600500745245967</v>
      </c>
      <c r="AE226" s="4">
        <f t="shared" si="18"/>
        <v>1.4167700745793976</v>
      </c>
      <c r="AF226">
        <f t="shared" si="19"/>
        <v>38.59749141513997</v>
      </c>
      <c r="AG226" t="s">
        <v>608</v>
      </c>
      <c r="AH226" t="s">
        <v>48</v>
      </c>
      <c r="AI226" t="s">
        <v>487</v>
      </c>
      <c r="AJ226" t="s">
        <v>488</v>
      </c>
    </row>
    <row r="227" spans="1:36" x14ac:dyDescent="0.3">
      <c r="A227" t="s">
        <v>771</v>
      </c>
      <c r="B227" t="s">
        <v>349</v>
      </c>
      <c r="C227" t="s">
        <v>490</v>
      </c>
      <c r="D227" s="9" t="s">
        <v>572</v>
      </c>
      <c r="E227" t="s">
        <v>32</v>
      </c>
      <c r="F227" t="s">
        <v>142</v>
      </c>
      <c r="G227" s="4">
        <v>7.3</v>
      </c>
      <c r="H227" s="4">
        <v>996.7</v>
      </c>
      <c r="I227" s="4">
        <v>630.4</v>
      </c>
      <c r="J227" s="4">
        <v>29.8</v>
      </c>
      <c r="K227" s="4">
        <v>51.74</v>
      </c>
      <c r="L227" s="4">
        <v>25</v>
      </c>
      <c r="M227" s="4">
        <v>77.98</v>
      </c>
      <c r="N227" s="4">
        <v>10.039999999999999</v>
      </c>
      <c r="O227" s="4">
        <v>178.68</v>
      </c>
      <c r="P227" s="4">
        <v>124.36</v>
      </c>
      <c r="Q227" s="4">
        <v>58.03</v>
      </c>
      <c r="R227" s="4">
        <v>39.380000000000003</v>
      </c>
      <c r="S227" s="4">
        <v>1.87</v>
      </c>
      <c r="T227" s="4">
        <v>-3.25</v>
      </c>
      <c r="U227" s="4">
        <v>-17.190000000000001</v>
      </c>
      <c r="V227" s="4">
        <v>0.18</v>
      </c>
      <c r="W227" s="4">
        <v>54.2</v>
      </c>
      <c r="X227" s="4">
        <v>-7.0000000000000007E-2</v>
      </c>
      <c r="Y227" s="4">
        <v>-0.49</v>
      </c>
      <c r="Z227" s="4">
        <v>-1.17</v>
      </c>
      <c r="AA227" s="4">
        <v>-4.45</v>
      </c>
      <c r="AB227" s="4">
        <f t="shared" si="15"/>
        <v>8.2880027459979839</v>
      </c>
      <c r="AC227" s="4">
        <f t="shared" si="16"/>
        <v>8.3779005811588174</v>
      </c>
      <c r="AD227" s="4">
        <f t="shared" si="17"/>
        <v>-0.53941171622150552</v>
      </c>
      <c r="AE227" s="4">
        <f t="shared" si="18"/>
        <v>2.2271973679206334</v>
      </c>
      <c r="AF227">
        <f t="shared" si="19"/>
        <v>44.025657462668569</v>
      </c>
      <c r="AG227" t="s">
        <v>763</v>
      </c>
      <c r="AH227" t="s">
        <v>733</v>
      </c>
      <c r="AI227" t="s">
        <v>487</v>
      </c>
      <c r="AJ227" t="s">
        <v>488</v>
      </c>
    </row>
    <row r="228" spans="1:36" x14ac:dyDescent="0.3">
      <c r="A228" t="s">
        <v>772</v>
      </c>
      <c r="B228" t="s">
        <v>351</v>
      </c>
      <c r="C228" t="s">
        <v>484</v>
      </c>
      <c r="D228" s="9" t="s">
        <v>586</v>
      </c>
      <c r="E228" t="s">
        <v>32</v>
      </c>
      <c r="F228" t="s">
        <v>277</v>
      </c>
      <c r="G228" s="4">
        <v>7.31</v>
      </c>
      <c r="H228" s="4">
        <v>487</v>
      </c>
      <c r="I228" s="4">
        <v>311.39999999999998</v>
      </c>
      <c r="J228" s="4">
        <v>29.3</v>
      </c>
      <c r="K228" s="4">
        <v>27.64</v>
      </c>
      <c r="L228" s="4">
        <v>11.89</v>
      </c>
      <c r="M228" s="4">
        <v>21.08</v>
      </c>
      <c r="N228" s="4">
        <v>4.34</v>
      </c>
      <c r="O228" s="4">
        <v>99.64</v>
      </c>
      <c r="P228" s="4">
        <v>34.4</v>
      </c>
      <c r="Q228" s="4">
        <v>23</v>
      </c>
      <c r="R228" s="4">
        <v>13.84</v>
      </c>
      <c r="S228" s="4">
        <v>1.53</v>
      </c>
      <c r="T228" s="4">
        <v>-4.0599999999999996</v>
      </c>
      <c r="U228" s="4">
        <v>-26.57</v>
      </c>
      <c r="V228" s="4">
        <v>0.151</v>
      </c>
      <c r="W228" s="4">
        <v>66.3</v>
      </c>
      <c r="X228" s="4">
        <v>-0.52</v>
      </c>
      <c r="Y228" s="4">
        <v>-0.63</v>
      </c>
      <c r="Z228" s="4">
        <v>-1.38</v>
      </c>
      <c r="AA228" s="4">
        <v>-4.99</v>
      </c>
      <c r="AB228" s="4">
        <f t="shared" si="15"/>
        <v>3.3856732568200929</v>
      </c>
      <c r="AC228" s="4">
        <f t="shared" si="16"/>
        <v>3.3859233301615408</v>
      </c>
      <c r="AD228" s="4">
        <f t="shared" si="17"/>
        <v>-3.6929745922645815E-3</v>
      </c>
      <c r="AE228" s="4">
        <f t="shared" si="18"/>
        <v>0.84454023557537394</v>
      </c>
      <c r="AF228">
        <f t="shared" si="19"/>
        <v>30.36215629040252</v>
      </c>
      <c r="AG228" t="s">
        <v>486</v>
      </c>
      <c r="AH228" t="s">
        <v>48</v>
      </c>
      <c r="AI228" t="s">
        <v>487</v>
      </c>
      <c r="AJ228" t="s">
        <v>488</v>
      </c>
    </row>
    <row r="229" spans="1:36" x14ac:dyDescent="0.3">
      <c r="A229" t="s">
        <v>773</v>
      </c>
      <c r="B229" t="s">
        <v>351</v>
      </c>
      <c r="C229" t="s">
        <v>490</v>
      </c>
      <c r="D229" s="9" t="s">
        <v>529</v>
      </c>
      <c r="E229" t="s">
        <v>32</v>
      </c>
      <c r="F229" t="s">
        <v>277</v>
      </c>
      <c r="G229" s="4">
        <v>7.36</v>
      </c>
      <c r="H229" s="4">
        <v>901.2</v>
      </c>
      <c r="I229" s="4">
        <v>554.29999999999995</v>
      </c>
      <c r="J229" s="4">
        <v>29.7</v>
      </c>
      <c r="K229" s="4">
        <v>43.83</v>
      </c>
      <c r="L229" s="4">
        <v>21.88</v>
      </c>
      <c r="M229" s="4">
        <v>66.17</v>
      </c>
      <c r="N229" s="4">
        <v>8.23</v>
      </c>
      <c r="O229" s="4">
        <v>172.79</v>
      </c>
      <c r="P229" s="4">
        <v>91.92</v>
      </c>
      <c r="Q229" s="4">
        <v>48.14</v>
      </c>
      <c r="R229" s="4">
        <v>44.83</v>
      </c>
      <c r="S229" s="4">
        <v>3.18</v>
      </c>
      <c r="T229" s="4">
        <v>-2.74</v>
      </c>
      <c r="U229" s="4">
        <v>-20.010000000000002</v>
      </c>
      <c r="V229" s="4">
        <v>0.23499999999999999</v>
      </c>
      <c r="W229" s="4">
        <v>58.6</v>
      </c>
      <c r="X229" s="4">
        <v>-0.1</v>
      </c>
      <c r="Y229" s="4">
        <v>-0.47</v>
      </c>
      <c r="Z229" s="4">
        <v>-0.88</v>
      </c>
      <c r="AA229" s="4">
        <v>-4.5199999999999996</v>
      </c>
      <c r="AB229" s="4">
        <f t="shared" si="15"/>
        <v>7.0765172901704787</v>
      </c>
      <c r="AC229" s="4">
        <f t="shared" si="16"/>
        <v>7.317292214690938</v>
      </c>
      <c r="AD229" s="4">
        <f t="shared" si="17"/>
        <v>-1.6727672020332016</v>
      </c>
      <c r="AE229" s="4">
        <f t="shared" si="18"/>
        <v>2.0384285583282225</v>
      </c>
      <c r="AF229">
        <f t="shared" si="19"/>
        <v>43.649011085255097</v>
      </c>
      <c r="AG229" t="s">
        <v>637</v>
      </c>
      <c r="AH229" t="s">
        <v>48</v>
      </c>
      <c r="AI229" t="s">
        <v>487</v>
      </c>
      <c r="AJ229" t="s">
        <v>488</v>
      </c>
    </row>
    <row r="230" spans="1:36" x14ac:dyDescent="0.3">
      <c r="A230" t="s">
        <v>774</v>
      </c>
      <c r="B230" t="s">
        <v>353</v>
      </c>
      <c r="C230" t="s">
        <v>484</v>
      </c>
      <c r="D230" s="9" t="s">
        <v>524</v>
      </c>
      <c r="E230" t="s">
        <v>32</v>
      </c>
      <c r="F230" t="s">
        <v>277</v>
      </c>
      <c r="G230" s="4">
        <v>7.38</v>
      </c>
      <c r="H230" s="4">
        <v>644.5</v>
      </c>
      <c r="I230" s="4">
        <v>358.2</v>
      </c>
      <c r="J230" s="4">
        <v>28.8</v>
      </c>
      <c r="K230" s="4">
        <v>28.41</v>
      </c>
      <c r="L230" s="4">
        <v>11.82</v>
      </c>
      <c r="M230" s="4">
        <v>31.38</v>
      </c>
      <c r="N230" s="4">
        <v>2.73</v>
      </c>
      <c r="O230" s="4">
        <v>110.48</v>
      </c>
      <c r="P230" s="4">
        <v>44.27</v>
      </c>
      <c r="Q230" s="4">
        <v>26.49</v>
      </c>
      <c r="R230" s="4">
        <v>45.85</v>
      </c>
      <c r="S230" s="4">
        <v>2.06</v>
      </c>
      <c r="T230" s="4">
        <v>-3.62</v>
      </c>
      <c r="U230" s="4">
        <v>-25.23</v>
      </c>
      <c r="V230" s="4">
        <v>0.215</v>
      </c>
      <c r="W230" s="4">
        <v>49.3</v>
      </c>
      <c r="X230" s="4">
        <v>-0.28999999999999998</v>
      </c>
      <c r="Y230" s="4">
        <v>-0.88</v>
      </c>
      <c r="Z230" s="4">
        <v>-0.77</v>
      </c>
      <c r="AA230" s="4">
        <v>-5.41</v>
      </c>
      <c r="AB230" s="4">
        <f t="shared" si="15"/>
        <v>3.8251999864940753</v>
      </c>
      <c r="AC230" s="4">
        <f t="shared" si="16"/>
        <v>4.4587885145819817</v>
      </c>
      <c r="AD230" s="4">
        <f t="shared" si="17"/>
        <v>-7.6483511294783391</v>
      </c>
      <c r="AE230" s="4">
        <f t="shared" si="18"/>
        <v>1.2485756380450783</v>
      </c>
      <c r="AF230">
        <f t="shared" si="19"/>
        <v>37.509808663780355</v>
      </c>
      <c r="AG230" t="s">
        <v>492</v>
      </c>
      <c r="AH230" t="s">
        <v>48</v>
      </c>
      <c r="AI230" t="s">
        <v>542</v>
      </c>
      <c r="AJ230" t="s">
        <v>543</v>
      </c>
    </row>
    <row r="231" spans="1:36" x14ac:dyDescent="0.3">
      <c r="A231" t="s">
        <v>775</v>
      </c>
      <c r="B231" t="s">
        <v>353</v>
      </c>
      <c r="C231" t="s">
        <v>490</v>
      </c>
      <c r="D231" s="9" t="s">
        <v>491</v>
      </c>
      <c r="E231" t="s">
        <v>32</v>
      </c>
      <c r="F231" t="s">
        <v>277</v>
      </c>
      <c r="G231" s="4">
        <v>7.21</v>
      </c>
      <c r="H231" s="4">
        <v>1183.4000000000001</v>
      </c>
      <c r="I231" s="4">
        <v>719.6</v>
      </c>
      <c r="J231" s="4">
        <v>28.6</v>
      </c>
      <c r="K231" s="4">
        <v>64.150000000000006</v>
      </c>
      <c r="L231" s="4">
        <v>24.96</v>
      </c>
      <c r="M231" s="4">
        <v>77.72</v>
      </c>
      <c r="N231" s="4">
        <v>5.67</v>
      </c>
      <c r="O231" s="4">
        <v>253.09</v>
      </c>
      <c r="P231" s="4">
        <v>116.68</v>
      </c>
      <c r="Q231" s="4">
        <v>50.07</v>
      </c>
      <c r="R231" s="4">
        <v>50.78</v>
      </c>
      <c r="S231" s="4">
        <v>2.76</v>
      </c>
      <c r="T231" s="4">
        <v>-2.84</v>
      </c>
      <c r="U231" s="4">
        <v>-17.05</v>
      </c>
      <c r="V231" s="4">
        <v>0.13300000000000001</v>
      </c>
      <c r="W231" s="4">
        <v>59.3</v>
      </c>
      <c r="X231" s="4">
        <v>-0.21</v>
      </c>
      <c r="Y231" s="4">
        <v>-0.57999999999999996</v>
      </c>
      <c r="Z231" s="4">
        <v>-0.89</v>
      </c>
      <c r="AA231" s="4">
        <v>-4.2</v>
      </c>
      <c r="AB231" s="4">
        <f t="shared" si="15"/>
        <v>8.7809234421716891</v>
      </c>
      <c r="AC231" s="4">
        <f t="shared" si="16"/>
        <v>9.4457656678413873</v>
      </c>
      <c r="AD231" s="4">
        <f t="shared" si="17"/>
        <v>-3.647630250655113</v>
      </c>
      <c r="AE231" s="4">
        <f t="shared" si="18"/>
        <v>2.0856186722703787</v>
      </c>
      <c r="AF231">
        <f t="shared" si="19"/>
        <v>40.152582388280997</v>
      </c>
      <c r="AG231" t="s">
        <v>492</v>
      </c>
      <c r="AH231" t="s">
        <v>506</v>
      </c>
      <c r="AI231" t="s">
        <v>487</v>
      </c>
      <c r="AJ231" t="s">
        <v>488</v>
      </c>
    </row>
    <row r="232" spans="1:36" x14ac:dyDescent="0.3">
      <c r="A232" t="s">
        <v>776</v>
      </c>
      <c r="B232" t="s">
        <v>355</v>
      </c>
      <c r="C232" t="s">
        <v>484</v>
      </c>
      <c r="D232" s="9" t="s">
        <v>621</v>
      </c>
      <c r="E232" t="s">
        <v>32</v>
      </c>
      <c r="F232" t="s">
        <v>101</v>
      </c>
      <c r="G232" s="4">
        <v>7.21</v>
      </c>
      <c r="H232" s="4">
        <v>641</v>
      </c>
      <c r="I232" s="4">
        <v>366</v>
      </c>
      <c r="J232" s="4">
        <v>29.6</v>
      </c>
      <c r="K232" s="4">
        <v>30.91</v>
      </c>
      <c r="L232" s="4">
        <v>12.31</v>
      </c>
      <c r="M232" s="4">
        <v>29.9</v>
      </c>
      <c r="N232" s="4">
        <v>3.75</v>
      </c>
      <c r="O232" s="4">
        <v>113.88</v>
      </c>
      <c r="P232" s="4">
        <v>33.020000000000003</v>
      </c>
      <c r="Q232" s="4">
        <v>25.51</v>
      </c>
      <c r="R232" s="4">
        <v>32.369999999999997</v>
      </c>
      <c r="S232" s="4">
        <v>1.27</v>
      </c>
      <c r="T232" s="4">
        <v>-4.09</v>
      </c>
      <c r="U232" s="4">
        <v>-23.95</v>
      </c>
      <c r="V232" s="4">
        <v>0.16900000000000001</v>
      </c>
      <c r="W232" s="4">
        <v>69.900000000000006</v>
      </c>
      <c r="X232" s="4">
        <v>-0.28000000000000003</v>
      </c>
      <c r="Y232" s="4">
        <v>-0.3</v>
      </c>
      <c r="Z232" s="4">
        <v>-1.21</v>
      </c>
      <c r="AA232" s="4">
        <v>-5.0999999999999996</v>
      </c>
      <c r="AB232" s="4">
        <f t="shared" si="15"/>
        <v>3.9519873076040009</v>
      </c>
      <c r="AC232" s="4">
        <f t="shared" si="16"/>
        <v>3.917800667501417</v>
      </c>
      <c r="AD232" s="4">
        <f t="shared" si="17"/>
        <v>0.43440357237992727</v>
      </c>
      <c r="AE232" s="4">
        <f t="shared" si="18"/>
        <v>1.1506207583218926</v>
      </c>
      <c r="AF232">
        <f t="shared" si="19"/>
        <v>35.3375343173605</v>
      </c>
      <c r="AG232" t="s">
        <v>497</v>
      </c>
      <c r="AH232" t="s">
        <v>48</v>
      </c>
      <c r="AI232" t="s">
        <v>487</v>
      </c>
      <c r="AJ232" t="s">
        <v>488</v>
      </c>
    </row>
    <row r="233" spans="1:36" x14ac:dyDescent="0.3">
      <c r="A233" t="s">
        <v>777</v>
      </c>
      <c r="B233" t="s">
        <v>355</v>
      </c>
      <c r="C233" t="s">
        <v>490</v>
      </c>
      <c r="D233" s="9" t="s">
        <v>588</v>
      </c>
      <c r="E233" t="s">
        <v>32</v>
      </c>
      <c r="F233" t="s">
        <v>101</v>
      </c>
      <c r="G233" s="4">
        <v>7.26</v>
      </c>
      <c r="H233" s="4">
        <v>835.6</v>
      </c>
      <c r="I233" s="4">
        <v>575.1</v>
      </c>
      <c r="J233" s="4">
        <v>31.5</v>
      </c>
      <c r="K233" s="4">
        <v>50.53</v>
      </c>
      <c r="L233" s="4">
        <v>18.61</v>
      </c>
      <c r="M233" s="4">
        <v>50.33</v>
      </c>
      <c r="N233" s="4">
        <v>6.5</v>
      </c>
      <c r="O233" s="4">
        <v>186.51</v>
      </c>
      <c r="P233" s="4">
        <v>75.09</v>
      </c>
      <c r="Q233" s="4">
        <v>50.21</v>
      </c>
      <c r="R233" s="4">
        <v>56.23</v>
      </c>
      <c r="S233" s="4">
        <v>2.2999999999999998</v>
      </c>
      <c r="T233" s="4">
        <v>-3.75</v>
      </c>
      <c r="U233" s="4">
        <v>-26.02</v>
      </c>
      <c r="V233" s="4">
        <v>0.17199999999999999</v>
      </c>
      <c r="W233" s="4">
        <v>70.2</v>
      </c>
      <c r="X233" s="4">
        <v>0.08</v>
      </c>
      <c r="Y233" s="4">
        <v>-0.28000000000000003</v>
      </c>
      <c r="Z233" s="4">
        <v>-1.03</v>
      </c>
      <c r="AA233" s="4">
        <v>-5.35</v>
      </c>
      <c r="AB233" s="4">
        <f t="shared" si="15"/>
        <v>6.408511901835455</v>
      </c>
      <c r="AC233" s="4">
        <f t="shared" si="16"/>
        <v>7.2480721032732571</v>
      </c>
      <c r="AD233" s="4">
        <f t="shared" si="17"/>
        <v>-6.1476588956926266</v>
      </c>
      <c r="AE233" s="4">
        <f t="shared" si="18"/>
        <v>1.537927822899672</v>
      </c>
      <c r="AF233">
        <f t="shared" si="19"/>
        <v>36.756689836102694</v>
      </c>
      <c r="AG233" t="s">
        <v>497</v>
      </c>
      <c r="AH233" t="s">
        <v>506</v>
      </c>
      <c r="AI233" t="s">
        <v>542</v>
      </c>
      <c r="AJ233" t="s">
        <v>543</v>
      </c>
    </row>
    <row r="234" spans="1:36" x14ac:dyDescent="0.3">
      <c r="A234" t="s">
        <v>778</v>
      </c>
      <c r="B234" t="s">
        <v>357</v>
      </c>
      <c r="C234" t="s">
        <v>484</v>
      </c>
      <c r="D234" s="9" t="s">
        <v>494</v>
      </c>
      <c r="E234" t="s">
        <v>32</v>
      </c>
      <c r="F234" t="s">
        <v>142</v>
      </c>
      <c r="G234" s="4">
        <v>7.16</v>
      </c>
      <c r="H234" s="4">
        <v>549.6</v>
      </c>
      <c r="I234" s="4">
        <v>390.2</v>
      </c>
      <c r="J234" s="4">
        <v>29.5</v>
      </c>
      <c r="K234" s="4">
        <v>37.619999999999997</v>
      </c>
      <c r="L234" s="4">
        <v>9.9499999999999993</v>
      </c>
      <c r="M234" s="4">
        <v>40.98</v>
      </c>
      <c r="N234" s="4">
        <v>4.2699999999999996</v>
      </c>
      <c r="O234" s="4">
        <v>143.5</v>
      </c>
      <c r="P234" s="4">
        <v>42.39</v>
      </c>
      <c r="Q234" s="4">
        <v>29.2</v>
      </c>
      <c r="R234" s="4">
        <v>26.6</v>
      </c>
      <c r="S234" s="4">
        <v>1.6</v>
      </c>
      <c r="T234" s="4">
        <v>-3.74</v>
      </c>
      <c r="U234" s="4">
        <v>-24.04</v>
      </c>
      <c r="V234" s="4">
        <v>0.20200000000000001</v>
      </c>
      <c r="W234" s="4">
        <v>53.9</v>
      </c>
      <c r="X234" s="4">
        <v>-0.26</v>
      </c>
      <c r="Y234" s="4">
        <v>-0.45</v>
      </c>
      <c r="Z234" s="4">
        <v>-0.87</v>
      </c>
      <c r="AA234" s="4">
        <v>-5.15</v>
      </c>
      <c r="AB234" s="4">
        <f t="shared" si="15"/>
        <v>4.5879051820094467</v>
      </c>
      <c r="AC234" s="4">
        <f t="shared" si="16"/>
        <v>4.6686807505745209</v>
      </c>
      <c r="AD234" s="4">
        <f t="shared" si="17"/>
        <v>-0.87262808505603917</v>
      </c>
      <c r="AE234" s="4">
        <f t="shared" si="18"/>
        <v>1.5353196636052067</v>
      </c>
      <c r="AF234">
        <f t="shared" si="19"/>
        <v>41.234601559606084</v>
      </c>
      <c r="AG234" t="s">
        <v>492</v>
      </c>
      <c r="AH234" t="s">
        <v>48</v>
      </c>
      <c r="AI234" t="s">
        <v>487</v>
      </c>
      <c r="AJ234" t="s">
        <v>488</v>
      </c>
    </row>
    <row r="235" spans="1:36" x14ac:dyDescent="0.3">
      <c r="A235" t="s">
        <v>779</v>
      </c>
      <c r="B235" t="s">
        <v>357</v>
      </c>
      <c r="C235" t="s">
        <v>490</v>
      </c>
      <c r="D235" s="9" t="s">
        <v>491</v>
      </c>
      <c r="E235" t="s">
        <v>32</v>
      </c>
      <c r="F235" t="s">
        <v>142</v>
      </c>
      <c r="G235" s="4">
        <v>7.38</v>
      </c>
      <c r="H235" s="4">
        <v>910.7</v>
      </c>
      <c r="I235" s="4">
        <v>545.9</v>
      </c>
      <c r="J235" s="4">
        <v>30.5</v>
      </c>
      <c r="K235" s="4">
        <v>46.57</v>
      </c>
      <c r="L235" s="4">
        <v>16.010000000000002</v>
      </c>
      <c r="M235" s="4">
        <v>71.48</v>
      </c>
      <c r="N235" s="4">
        <v>7.09</v>
      </c>
      <c r="O235" s="4">
        <v>190.5</v>
      </c>
      <c r="P235" s="4">
        <v>96.56</v>
      </c>
      <c r="Q235" s="4">
        <v>33.65</v>
      </c>
      <c r="R235" s="4">
        <v>34.43</v>
      </c>
      <c r="S235" s="4">
        <v>1.72</v>
      </c>
      <c r="T235" s="4">
        <v>-3.47</v>
      </c>
      <c r="U235" s="4">
        <v>-22.02</v>
      </c>
      <c r="V235" s="4">
        <v>0.154</v>
      </c>
      <c r="W235" s="4">
        <v>29.8</v>
      </c>
      <c r="X235" s="4">
        <v>-0.28999999999999998</v>
      </c>
      <c r="Y235" s="4">
        <v>0.04</v>
      </c>
      <c r="Z235" s="4">
        <v>-1.1499999999999999</v>
      </c>
      <c r="AA235" s="4">
        <v>-4.63</v>
      </c>
      <c r="AB235" s="4">
        <f t="shared" si="15"/>
        <v>6.9320450088645629</v>
      </c>
      <c r="AC235" s="4">
        <f t="shared" si="16"/>
        <v>7.1921561314924389</v>
      </c>
      <c r="AD235" s="4">
        <f t="shared" si="17"/>
        <v>-1.8415988277359063</v>
      </c>
      <c r="AE235" s="4">
        <f t="shared" si="18"/>
        <v>2.3043354715458122</v>
      </c>
      <c r="AF235">
        <f t="shared" si="19"/>
        <v>47.470152667723099</v>
      </c>
      <c r="AG235" t="s">
        <v>637</v>
      </c>
      <c r="AH235" t="s">
        <v>48</v>
      </c>
      <c r="AI235" t="s">
        <v>487</v>
      </c>
      <c r="AJ235" t="s">
        <v>488</v>
      </c>
    </row>
    <row r="236" spans="1:36" x14ac:dyDescent="0.3">
      <c r="A236" t="s">
        <v>780</v>
      </c>
      <c r="B236" t="s">
        <v>359</v>
      </c>
      <c r="C236" t="s">
        <v>484</v>
      </c>
      <c r="D236" s="9" t="s">
        <v>520</v>
      </c>
      <c r="E236" t="s">
        <v>32</v>
      </c>
      <c r="F236" t="s">
        <v>101</v>
      </c>
      <c r="G236" s="4">
        <v>7.78</v>
      </c>
      <c r="H236" s="4">
        <v>612.20000000000005</v>
      </c>
      <c r="I236" s="4">
        <v>388.9</v>
      </c>
      <c r="J236" s="4">
        <v>30.1</v>
      </c>
      <c r="K236" s="4">
        <v>29.57</v>
      </c>
      <c r="L236" s="4">
        <v>11.82</v>
      </c>
      <c r="M236" s="4">
        <v>41.97</v>
      </c>
      <c r="N236" s="4">
        <v>5.19</v>
      </c>
      <c r="O236" s="4">
        <v>121.09</v>
      </c>
      <c r="P236" s="4">
        <v>44.32</v>
      </c>
      <c r="Q236" s="4">
        <v>36.590000000000003</v>
      </c>
      <c r="R236" s="4">
        <v>23.78</v>
      </c>
      <c r="S236" s="4">
        <v>1.86</v>
      </c>
      <c r="T236" s="4">
        <v>-3.35</v>
      </c>
      <c r="U236" s="4">
        <v>-21.16</v>
      </c>
      <c r="V236" s="4">
        <v>0.191</v>
      </c>
      <c r="W236" s="4">
        <v>55.2</v>
      </c>
      <c r="X236" s="4">
        <v>-0.01</v>
      </c>
      <c r="Y236" s="4">
        <v>-0.56000000000000005</v>
      </c>
      <c r="Z236" s="4">
        <v>-1.26</v>
      </c>
      <c r="AA236" s="4">
        <v>-4.82</v>
      </c>
      <c r="AB236" s="4">
        <f t="shared" si="15"/>
        <v>4.406661021902238</v>
      </c>
      <c r="AC236" s="4">
        <f t="shared" si="16"/>
        <v>4.4779058517449188</v>
      </c>
      <c r="AD236" s="4">
        <f t="shared" si="17"/>
        <v>-0.80189423813109917</v>
      </c>
      <c r="AE236" s="4">
        <f t="shared" si="18"/>
        <v>1.6500798037951823</v>
      </c>
      <c r="AF236">
        <f t="shared" si="19"/>
        <v>44.441791676271919</v>
      </c>
      <c r="AG236" t="s">
        <v>521</v>
      </c>
      <c r="AH236" t="s">
        <v>48</v>
      </c>
      <c r="AI236" t="s">
        <v>487</v>
      </c>
      <c r="AJ236" t="s">
        <v>488</v>
      </c>
    </row>
    <row r="237" spans="1:36" x14ac:dyDescent="0.3">
      <c r="A237" t="s">
        <v>781</v>
      </c>
      <c r="B237" t="s">
        <v>359</v>
      </c>
      <c r="C237" t="s">
        <v>490</v>
      </c>
      <c r="D237" s="9" t="s">
        <v>553</v>
      </c>
      <c r="E237" t="s">
        <v>32</v>
      </c>
      <c r="F237" t="s">
        <v>101</v>
      </c>
      <c r="G237" s="4">
        <v>7.46</v>
      </c>
      <c r="H237" s="4">
        <v>982.5</v>
      </c>
      <c r="I237" s="4">
        <v>560.6</v>
      </c>
      <c r="J237" s="4">
        <v>30.9</v>
      </c>
      <c r="K237" s="4">
        <v>38.97</v>
      </c>
      <c r="L237" s="4">
        <v>21.63</v>
      </c>
      <c r="M237" s="4">
        <v>68.17</v>
      </c>
      <c r="N237" s="4">
        <v>6.69</v>
      </c>
      <c r="O237" s="4">
        <v>196.14</v>
      </c>
      <c r="P237" s="4">
        <v>75.62</v>
      </c>
      <c r="Q237" s="4">
        <v>50.85</v>
      </c>
      <c r="R237" s="4">
        <v>32.979999999999997</v>
      </c>
      <c r="S237" s="4">
        <v>2.75</v>
      </c>
      <c r="T237" s="4">
        <v>-3.2</v>
      </c>
      <c r="U237" s="4">
        <v>-20.8</v>
      </c>
      <c r="V237" s="4">
        <v>0.17399999999999999</v>
      </c>
      <c r="W237" s="4">
        <v>58.9</v>
      </c>
      <c r="X237" s="4">
        <v>-0.32</v>
      </c>
      <c r="Y237" s="4">
        <v>-0.34</v>
      </c>
      <c r="Z237" s="4">
        <v>-0.73</v>
      </c>
      <c r="AA237" s="4">
        <v>-4.68</v>
      </c>
      <c r="AB237" s="4">
        <f t="shared" si="15"/>
        <v>6.8610282447150404</v>
      </c>
      <c r="AC237" s="4">
        <f t="shared" si="16"/>
        <v>7.0828902717782247</v>
      </c>
      <c r="AD237" s="4">
        <f t="shared" si="17"/>
        <v>-1.5911024350921128</v>
      </c>
      <c r="AE237" s="4">
        <f t="shared" si="18"/>
        <v>2.1729466434898406</v>
      </c>
      <c r="AF237">
        <f t="shared" si="19"/>
        <v>45.713843903681258</v>
      </c>
      <c r="AG237" t="s">
        <v>521</v>
      </c>
      <c r="AH237" t="s">
        <v>48</v>
      </c>
      <c r="AI237" t="s">
        <v>487</v>
      </c>
      <c r="AJ237" t="s">
        <v>488</v>
      </c>
    </row>
    <row r="238" spans="1:36" x14ac:dyDescent="0.3">
      <c r="A238" t="s">
        <v>782</v>
      </c>
      <c r="B238" t="s">
        <v>361</v>
      </c>
      <c r="C238" t="s">
        <v>484</v>
      </c>
      <c r="D238" s="9" t="s">
        <v>539</v>
      </c>
      <c r="E238" t="s">
        <v>32</v>
      </c>
      <c r="F238" t="s">
        <v>142</v>
      </c>
      <c r="G238" s="4">
        <v>7.48</v>
      </c>
      <c r="H238" s="4">
        <v>554.4</v>
      </c>
      <c r="I238" s="4">
        <v>342.2</v>
      </c>
      <c r="J238" s="4">
        <v>29.1</v>
      </c>
      <c r="K238" s="4">
        <v>27.03</v>
      </c>
      <c r="L238" s="4">
        <v>11.03</v>
      </c>
      <c r="M238" s="4">
        <v>38.58</v>
      </c>
      <c r="N238" s="4">
        <v>4.42</v>
      </c>
      <c r="O238" s="4">
        <v>122.28</v>
      </c>
      <c r="P238" s="4">
        <v>47.51</v>
      </c>
      <c r="Q238" s="4">
        <v>18.48</v>
      </c>
      <c r="R238" s="4">
        <v>6.23</v>
      </c>
      <c r="S238" s="4">
        <v>1.3</v>
      </c>
      <c r="T238" s="4">
        <v>-3.74</v>
      </c>
      <c r="U238" s="4">
        <v>-26.15</v>
      </c>
      <c r="V238" s="4">
        <v>0.14899999999999999</v>
      </c>
      <c r="W238" s="4">
        <v>48.4</v>
      </c>
      <c r="X238" s="4">
        <v>0.16</v>
      </c>
      <c r="Y238" s="4">
        <v>-0.31</v>
      </c>
      <c r="Z238" s="4">
        <v>-1.1499999999999999</v>
      </c>
      <c r="AA238" s="4">
        <v>-5.04</v>
      </c>
      <c r="AB238" s="4">
        <f t="shared" si="15"/>
        <v>4.0477450581892525</v>
      </c>
      <c r="AC238" s="4">
        <f t="shared" si="16"/>
        <v>3.8978122736467498</v>
      </c>
      <c r="AD238" s="4">
        <f t="shared" si="17"/>
        <v>1.8870014812146263</v>
      </c>
      <c r="AE238" s="4">
        <f t="shared" si="18"/>
        <v>1.5799352587283915</v>
      </c>
      <c r="AF238">
        <f t="shared" si="19"/>
        <v>44.252865581010894</v>
      </c>
      <c r="AG238" t="s">
        <v>521</v>
      </c>
      <c r="AH238" t="s">
        <v>48</v>
      </c>
      <c r="AI238" t="s">
        <v>487</v>
      </c>
      <c r="AJ238" t="s">
        <v>488</v>
      </c>
    </row>
    <row r="239" spans="1:36" x14ac:dyDescent="0.3">
      <c r="A239" t="s">
        <v>783</v>
      </c>
      <c r="B239" t="s">
        <v>361</v>
      </c>
      <c r="C239" t="s">
        <v>490</v>
      </c>
      <c r="D239" s="9" t="s">
        <v>597</v>
      </c>
      <c r="E239" t="s">
        <v>32</v>
      </c>
      <c r="F239" t="s">
        <v>142</v>
      </c>
      <c r="G239" s="4">
        <v>7.31</v>
      </c>
      <c r="H239" s="4">
        <v>1003.6</v>
      </c>
      <c r="I239" s="4">
        <v>560.5</v>
      </c>
      <c r="J239" s="4">
        <v>30.4</v>
      </c>
      <c r="K239" s="4">
        <v>49.95</v>
      </c>
      <c r="L239" s="4">
        <v>17.809999999999999</v>
      </c>
      <c r="M239" s="4">
        <v>69.569999999999993</v>
      </c>
      <c r="N239" s="4">
        <v>6.25</v>
      </c>
      <c r="O239" s="4">
        <v>210.82</v>
      </c>
      <c r="P239" s="4">
        <v>93.41</v>
      </c>
      <c r="Q239" s="4">
        <v>37.950000000000003</v>
      </c>
      <c r="R239" s="4">
        <v>9.77</v>
      </c>
      <c r="S239" s="4">
        <v>1.54</v>
      </c>
      <c r="T239" s="4">
        <v>-3.3</v>
      </c>
      <c r="U239" s="4">
        <v>-23.8</v>
      </c>
      <c r="V239" s="4">
        <v>0.19500000000000001</v>
      </c>
      <c r="W239" s="4">
        <v>52.3</v>
      </c>
      <c r="X239" s="4">
        <v>0.46</v>
      </c>
      <c r="Y239" s="4">
        <v>0.32</v>
      </c>
      <c r="Z239" s="4">
        <v>-0.76</v>
      </c>
      <c r="AA239" s="4">
        <v>-5.08</v>
      </c>
      <c r="AB239" s="4">
        <f t="shared" si="15"/>
        <v>7.144266082877337</v>
      </c>
      <c r="AC239" s="4">
        <f t="shared" si="16"/>
        <v>7.1186757009963699</v>
      </c>
      <c r="AD239" s="4">
        <f t="shared" si="17"/>
        <v>0.17941868002224237</v>
      </c>
      <c r="AE239" s="4">
        <f t="shared" si="18"/>
        <v>2.1511419657699569</v>
      </c>
      <c r="AF239">
        <f t="shared" si="19"/>
        <v>44.596388532046262</v>
      </c>
      <c r="AG239" t="s">
        <v>521</v>
      </c>
      <c r="AH239" t="s">
        <v>48</v>
      </c>
      <c r="AI239" t="s">
        <v>487</v>
      </c>
      <c r="AJ239" t="s">
        <v>488</v>
      </c>
    </row>
    <row r="240" spans="1:36" x14ac:dyDescent="0.3">
      <c r="A240" t="s">
        <v>784</v>
      </c>
      <c r="B240" t="s">
        <v>363</v>
      </c>
      <c r="C240" t="s">
        <v>484</v>
      </c>
      <c r="D240" s="9" t="s">
        <v>494</v>
      </c>
      <c r="E240" t="s">
        <v>32</v>
      </c>
      <c r="F240" t="s">
        <v>142</v>
      </c>
      <c r="G240" s="4">
        <v>7.26</v>
      </c>
      <c r="H240" s="4">
        <v>476.7</v>
      </c>
      <c r="I240" s="4">
        <v>316.2</v>
      </c>
      <c r="J240" s="4">
        <v>29.3</v>
      </c>
      <c r="K240" s="4">
        <v>27.7</v>
      </c>
      <c r="L240" s="4">
        <v>12.37</v>
      </c>
      <c r="M240" s="4">
        <v>32.64</v>
      </c>
      <c r="N240" s="4">
        <v>3.78</v>
      </c>
      <c r="O240" s="4">
        <v>124.35</v>
      </c>
      <c r="P240" s="4">
        <v>36.36</v>
      </c>
      <c r="Q240" s="4">
        <v>25.26</v>
      </c>
      <c r="R240" s="4">
        <v>11.17</v>
      </c>
      <c r="S240" s="4">
        <v>0.95</v>
      </c>
      <c r="T240" s="4">
        <v>-4.62</v>
      </c>
      <c r="U240" s="4">
        <v>-31.06</v>
      </c>
      <c r="V240" s="4">
        <v>0.154</v>
      </c>
      <c r="W240" s="4">
        <v>30.5</v>
      </c>
      <c r="X240" s="4">
        <v>-0.56000000000000005</v>
      </c>
      <c r="Y240" s="4">
        <v>-0.59</v>
      </c>
      <c r="Z240" s="4">
        <v>-1.1200000000000001</v>
      </c>
      <c r="AA240" s="4">
        <v>-4.75</v>
      </c>
      <c r="AB240" s="4">
        <f t="shared" si="15"/>
        <v>3.9166916693446474</v>
      </c>
      <c r="AC240" s="4">
        <f t="shared" si="16"/>
        <v>3.8196468176404514</v>
      </c>
      <c r="AD240" s="4">
        <f t="shared" si="17"/>
        <v>1.2544028659999205</v>
      </c>
      <c r="AE240" s="4">
        <f t="shared" si="18"/>
        <v>1.2960482372854836</v>
      </c>
      <c r="AF240">
        <f t="shared" si="19"/>
        <v>38.718636523192586</v>
      </c>
      <c r="AG240" t="s">
        <v>492</v>
      </c>
      <c r="AH240" t="s">
        <v>48</v>
      </c>
      <c r="AI240" t="s">
        <v>487</v>
      </c>
      <c r="AJ240" t="s">
        <v>488</v>
      </c>
    </row>
    <row r="241" spans="1:36" x14ac:dyDescent="0.3">
      <c r="A241" t="s">
        <v>785</v>
      </c>
      <c r="B241" t="s">
        <v>363</v>
      </c>
      <c r="C241" t="s">
        <v>490</v>
      </c>
      <c r="D241" s="9" t="s">
        <v>563</v>
      </c>
      <c r="E241" t="s">
        <v>32</v>
      </c>
      <c r="F241" t="s">
        <v>142</v>
      </c>
      <c r="G241" s="4">
        <v>7.22</v>
      </c>
      <c r="H241" s="4">
        <v>917.6</v>
      </c>
      <c r="I241" s="4">
        <v>525.6</v>
      </c>
      <c r="J241" s="4">
        <v>29.1</v>
      </c>
      <c r="K241" s="4">
        <v>51.75</v>
      </c>
      <c r="L241" s="4">
        <v>14.45</v>
      </c>
      <c r="M241" s="4">
        <v>62.85</v>
      </c>
      <c r="N241" s="4">
        <v>5.75</v>
      </c>
      <c r="O241" s="4">
        <v>185.09</v>
      </c>
      <c r="P241" s="4">
        <v>77.849999999999994</v>
      </c>
      <c r="Q241" s="4">
        <v>54.6</v>
      </c>
      <c r="R241" s="4">
        <v>16.5</v>
      </c>
      <c r="S241" s="4">
        <v>0.95</v>
      </c>
      <c r="T241" s="4">
        <v>-3.54</v>
      </c>
      <c r="U241" s="4">
        <v>-19.98</v>
      </c>
      <c r="V241" s="4">
        <v>0.13100000000000001</v>
      </c>
      <c r="W241" s="4">
        <v>47.4</v>
      </c>
      <c r="X241" s="4">
        <v>-0.39</v>
      </c>
      <c r="Y241" s="4">
        <v>-0.34</v>
      </c>
      <c r="Z241" s="4">
        <v>-0.83</v>
      </c>
      <c r="AA241" s="4">
        <v>-4.76</v>
      </c>
      <c r="AB241" s="4">
        <f t="shared" si="15"/>
        <v>6.6525025115717238</v>
      </c>
      <c r="AC241" s="4">
        <f t="shared" si="16"/>
        <v>6.6822343510746451</v>
      </c>
      <c r="AD241" s="4">
        <f t="shared" si="17"/>
        <v>-0.22296532589410892</v>
      </c>
      <c r="AE241" s="4">
        <f t="shared" si="18"/>
        <v>1.9908658415822813</v>
      </c>
      <c r="AF241">
        <f t="shared" si="19"/>
        <v>43.306749030076652</v>
      </c>
      <c r="AG241" t="s">
        <v>492</v>
      </c>
      <c r="AH241" t="s">
        <v>48</v>
      </c>
      <c r="AI241" t="s">
        <v>487</v>
      </c>
      <c r="AJ241" t="s">
        <v>488</v>
      </c>
    </row>
    <row r="242" spans="1:36" x14ac:dyDescent="0.3">
      <c r="A242" t="s">
        <v>786</v>
      </c>
      <c r="B242" t="s">
        <v>365</v>
      </c>
      <c r="C242" t="s">
        <v>484</v>
      </c>
      <c r="D242" s="9" t="s">
        <v>662</v>
      </c>
      <c r="E242" t="s">
        <v>50</v>
      </c>
      <c r="F242" t="s">
        <v>277</v>
      </c>
      <c r="G242" s="4">
        <v>6.96</v>
      </c>
      <c r="H242" s="4">
        <v>603.9</v>
      </c>
      <c r="I242" s="4">
        <v>366.6</v>
      </c>
      <c r="J242" s="4">
        <v>29.2</v>
      </c>
      <c r="K242" s="4">
        <v>31.67</v>
      </c>
      <c r="L242" s="4">
        <v>14.41</v>
      </c>
      <c r="M242" s="4">
        <v>34.08</v>
      </c>
      <c r="N242" s="4">
        <v>3.7</v>
      </c>
      <c r="O242" s="4">
        <v>133.38</v>
      </c>
      <c r="P242" s="4">
        <v>45.58</v>
      </c>
      <c r="Q242" s="4">
        <v>37.200000000000003</v>
      </c>
      <c r="R242" s="4">
        <v>7.9</v>
      </c>
      <c r="S242" s="4">
        <v>0.5</v>
      </c>
      <c r="T242" s="4">
        <v>-3.8</v>
      </c>
      <c r="U242" s="4">
        <v>-27.1</v>
      </c>
      <c r="V242" s="4">
        <v>0.185</v>
      </c>
      <c r="W242" s="4">
        <v>51</v>
      </c>
      <c r="X242" s="4">
        <v>-0.13</v>
      </c>
      <c r="Y242" s="4">
        <v>-0.06</v>
      </c>
      <c r="Z242" s="4">
        <v>-1.07</v>
      </c>
      <c r="AA242" s="4">
        <v>-5.21</v>
      </c>
      <c r="AB242" s="4">
        <f t="shared" si="15"/>
        <v>4.3432645545691857</v>
      </c>
      <c r="AC242" s="4">
        <f t="shared" si="16"/>
        <v>4.3998735615443358</v>
      </c>
      <c r="AD242" s="4">
        <f t="shared" si="17"/>
        <v>-0.64746783389845208</v>
      </c>
      <c r="AE242" s="4">
        <f t="shared" si="18"/>
        <v>1.2605326361247517</v>
      </c>
      <c r="AF242">
        <f t="shared" si="19"/>
        <v>36.310984610182523</v>
      </c>
      <c r="AG242" t="s">
        <v>497</v>
      </c>
      <c r="AH242" t="s">
        <v>48</v>
      </c>
      <c r="AI242" t="s">
        <v>487</v>
      </c>
      <c r="AJ242" t="s">
        <v>488</v>
      </c>
    </row>
    <row r="243" spans="1:36" x14ac:dyDescent="0.3">
      <c r="A243" t="s">
        <v>787</v>
      </c>
      <c r="B243" t="s">
        <v>365</v>
      </c>
      <c r="C243" t="s">
        <v>490</v>
      </c>
      <c r="D243" s="9" t="s">
        <v>611</v>
      </c>
      <c r="E243" t="s">
        <v>50</v>
      </c>
      <c r="F243" t="s">
        <v>277</v>
      </c>
      <c r="G243" s="4">
        <v>6.76</v>
      </c>
      <c r="H243" s="4">
        <v>759.5</v>
      </c>
      <c r="I243" s="4">
        <v>463.6</v>
      </c>
      <c r="J243" s="4">
        <v>31.3</v>
      </c>
      <c r="K243" s="4">
        <v>42.82</v>
      </c>
      <c r="L243" s="4">
        <v>20.09</v>
      </c>
      <c r="M243" s="4">
        <v>47.81</v>
      </c>
      <c r="N243" s="4">
        <v>5.49</v>
      </c>
      <c r="O243" s="4">
        <v>153.12</v>
      </c>
      <c r="P243" s="4">
        <v>78.17</v>
      </c>
      <c r="Q243" s="4">
        <v>43.86</v>
      </c>
      <c r="R243" s="4">
        <v>20.75</v>
      </c>
      <c r="S243" s="4">
        <v>0.85</v>
      </c>
      <c r="T243" s="4">
        <v>-3.22</v>
      </c>
      <c r="U243" s="4">
        <v>-24.96</v>
      </c>
      <c r="V243" s="4">
        <v>0.224</v>
      </c>
      <c r="W243" s="4">
        <v>42.9</v>
      </c>
      <c r="X243" s="4">
        <v>0.32</v>
      </c>
      <c r="Y243" s="4">
        <v>0.35</v>
      </c>
      <c r="Z243" s="4">
        <v>-0.97</v>
      </c>
      <c r="AA243" s="4">
        <v>-4.9000000000000004</v>
      </c>
      <c r="AB243" s="4">
        <f t="shared" si="15"/>
        <v>6.0100976380158215</v>
      </c>
      <c r="AC243" s="4">
        <f t="shared" si="16"/>
        <v>6.0069684716853571</v>
      </c>
      <c r="AD243" s="4">
        <f t="shared" si="17"/>
        <v>2.6039353548519849E-2</v>
      </c>
      <c r="AE243" s="4">
        <f t="shared" si="18"/>
        <v>1.5107568570601093</v>
      </c>
      <c r="AF243">
        <f t="shared" si="19"/>
        <v>36.939610801014034</v>
      </c>
      <c r="AG243" t="s">
        <v>606</v>
      </c>
      <c r="AH243" t="s">
        <v>48</v>
      </c>
      <c r="AI243" t="s">
        <v>487</v>
      </c>
      <c r="AJ243" t="s">
        <v>488</v>
      </c>
    </row>
    <row r="244" spans="1:36" x14ac:dyDescent="0.3">
      <c r="A244" t="s">
        <v>788</v>
      </c>
      <c r="B244" t="s">
        <v>368</v>
      </c>
      <c r="C244" t="s">
        <v>484</v>
      </c>
      <c r="D244" s="9" t="s">
        <v>666</v>
      </c>
      <c r="E244" t="s">
        <v>50</v>
      </c>
      <c r="F244" t="s">
        <v>75</v>
      </c>
      <c r="G244" s="4">
        <v>7.14</v>
      </c>
      <c r="H244" s="4">
        <v>616.1</v>
      </c>
      <c r="I244" s="4">
        <v>356</v>
      </c>
      <c r="J244" s="4">
        <v>29.2</v>
      </c>
      <c r="K244" s="4">
        <v>29.53</v>
      </c>
      <c r="L244" s="4">
        <v>14.33</v>
      </c>
      <c r="M244" s="4">
        <v>37.57</v>
      </c>
      <c r="N244" s="4">
        <v>4.3</v>
      </c>
      <c r="O244" s="4">
        <v>140.25</v>
      </c>
      <c r="P244" s="4">
        <v>48.9</v>
      </c>
      <c r="Q244" s="4">
        <v>36.340000000000003</v>
      </c>
      <c r="R244" s="4">
        <v>8.0399999999999991</v>
      </c>
      <c r="S244" s="4">
        <v>0.04</v>
      </c>
      <c r="T244" s="4">
        <v>-3.72</v>
      </c>
      <c r="U244" s="4">
        <v>-21.99</v>
      </c>
      <c r="V244" s="4">
        <v>0.249</v>
      </c>
      <c r="W244" s="4">
        <v>32.9</v>
      </c>
      <c r="X244" s="4">
        <v>7.0000000000000007E-2</v>
      </c>
      <c r="Y244" s="4">
        <v>-0.12</v>
      </c>
      <c r="Z244" s="4">
        <v>-1.17</v>
      </c>
      <c r="AA244" s="4">
        <v>-4.6100000000000003</v>
      </c>
      <c r="AB244" s="4">
        <f t="shared" si="15"/>
        <v>4.3970475804361788</v>
      </c>
      <c r="AC244" s="4">
        <f t="shared" si="16"/>
        <v>4.5662514225368644</v>
      </c>
      <c r="AD244" s="4">
        <f t="shared" si="17"/>
        <v>-1.8877406861531929</v>
      </c>
      <c r="AE244" s="4">
        <f t="shared" si="18"/>
        <v>1.4190027287361349</v>
      </c>
      <c r="AF244">
        <f t="shared" si="19"/>
        <v>39.668433912428874</v>
      </c>
      <c r="AG244" t="s">
        <v>492</v>
      </c>
      <c r="AH244" t="s">
        <v>48</v>
      </c>
      <c r="AI244" t="s">
        <v>487</v>
      </c>
      <c r="AJ244" t="s">
        <v>488</v>
      </c>
    </row>
    <row r="245" spans="1:36" x14ac:dyDescent="0.3">
      <c r="A245" t="s">
        <v>789</v>
      </c>
      <c r="B245" t="s">
        <v>368</v>
      </c>
      <c r="C245" t="s">
        <v>490</v>
      </c>
      <c r="D245" s="9" t="s">
        <v>658</v>
      </c>
      <c r="E245" t="s">
        <v>50</v>
      </c>
      <c r="F245" t="s">
        <v>75</v>
      </c>
      <c r="G245" s="4">
        <v>6.87</v>
      </c>
      <c r="H245" s="4">
        <v>737</v>
      </c>
      <c r="I245" s="4">
        <v>421.2</v>
      </c>
      <c r="J245" s="4">
        <v>28.7</v>
      </c>
      <c r="K245" s="4">
        <v>47.3</v>
      </c>
      <c r="L245" s="4">
        <v>18.760000000000002</v>
      </c>
      <c r="M245" s="4">
        <v>33.49</v>
      </c>
      <c r="N245" s="4">
        <v>3.87</v>
      </c>
      <c r="O245" s="4">
        <v>146.91</v>
      </c>
      <c r="P245" s="4">
        <v>49.52</v>
      </c>
      <c r="Q245" s="4">
        <v>58.95</v>
      </c>
      <c r="R245" s="4">
        <v>16.739999999999998</v>
      </c>
      <c r="S245" s="4">
        <v>0.35</v>
      </c>
      <c r="T245" s="4">
        <v>-3.88</v>
      </c>
      <c r="U245" s="4">
        <v>-23.36</v>
      </c>
      <c r="V245" s="4">
        <v>0.24099999999999999</v>
      </c>
      <c r="W245" s="4">
        <v>39.799999999999997</v>
      </c>
      <c r="X245" s="4">
        <v>-0.36</v>
      </c>
      <c r="Y245" s="4">
        <v>-0.62</v>
      </c>
      <c r="Z245" s="4">
        <v>-0.85</v>
      </c>
      <c r="AA245" s="4">
        <v>-4.97</v>
      </c>
      <c r="AB245" s="4">
        <f t="shared" si="15"/>
        <v>5.4598782345995431</v>
      </c>
      <c r="AC245" s="4">
        <f t="shared" si="16"/>
        <v>5.3202675103621306</v>
      </c>
      <c r="AD245" s="4">
        <f t="shared" si="17"/>
        <v>1.2950726969777981</v>
      </c>
      <c r="AE245" s="4">
        <f t="shared" si="18"/>
        <v>1.0426748607290701</v>
      </c>
      <c r="AF245">
        <f t="shared" si="19"/>
        <v>28.49451320011725</v>
      </c>
      <c r="AG245" t="s">
        <v>486</v>
      </c>
      <c r="AH245" t="s">
        <v>48</v>
      </c>
      <c r="AI245" t="s">
        <v>487</v>
      </c>
      <c r="AJ245" t="s">
        <v>488</v>
      </c>
    </row>
    <row r="246" spans="1:36" x14ac:dyDescent="0.3">
      <c r="A246" t="s">
        <v>790</v>
      </c>
      <c r="B246" t="s">
        <v>370</v>
      </c>
      <c r="C246" t="s">
        <v>484</v>
      </c>
      <c r="D246" s="9" t="s">
        <v>649</v>
      </c>
      <c r="E246" t="s">
        <v>50</v>
      </c>
      <c r="F246" t="s">
        <v>142</v>
      </c>
      <c r="G246" s="4">
        <v>7.24</v>
      </c>
      <c r="H246" s="4">
        <v>740.7</v>
      </c>
      <c r="I246" s="4">
        <v>451.3</v>
      </c>
      <c r="J246" s="4">
        <v>29.7</v>
      </c>
      <c r="K246" s="4">
        <v>37.32</v>
      </c>
      <c r="L246" s="4">
        <v>11.26</v>
      </c>
      <c r="M246" s="4">
        <v>37.29</v>
      </c>
      <c r="N246" s="4">
        <v>3.91</v>
      </c>
      <c r="O246" s="4">
        <v>133</v>
      </c>
      <c r="P246" s="4">
        <v>46.32</v>
      </c>
      <c r="Q246" s="4">
        <v>23.5</v>
      </c>
      <c r="R246" s="4">
        <v>96.31</v>
      </c>
      <c r="S246" s="4">
        <v>0.6</v>
      </c>
      <c r="T246" s="4">
        <v>-4.13</v>
      </c>
      <c r="U246" s="4">
        <v>-27.32</v>
      </c>
      <c r="V246" s="4">
        <v>0.21199999999999999</v>
      </c>
      <c r="W246" s="4">
        <v>52.7</v>
      </c>
      <c r="X246" s="4">
        <v>-0.33</v>
      </c>
      <c r="Y246" s="4">
        <v>-1.2</v>
      </c>
      <c r="Z246" s="4">
        <v>-1.04</v>
      </c>
      <c r="AA246" s="4">
        <v>-4.84</v>
      </c>
      <c r="AB246" s="4">
        <f t="shared" si="15"/>
        <v>4.511011943617306</v>
      </c>
      <c r="AC246" s="4">
        <f t="shared" si="16"/>
        <v>5.5603987642855257</v>
      </c>
      <c r="AD246" s="4">
        <f t="shared" si="17"/>
        <v>-10.419462090298701</v>
      </c>
      <c r="AE246" s="4">
        <f t="shared" si="18"/>
        <v>1.3736267846893013</v>
      </c>
      <c r="AF246">
        <f t="shared" si="19"/>
        <v>38.175142565629379</v>
      </c>
      <c r="AG246" t="s">
        <v>497</v>
      </c>
      <c r="AH246" t="s">
        <v>506</v>
      </c>
      <c r="AI246" t="s">
        <v>516</v>
      </c>
      <c r="AJ246" t="s">
        <v>517</v>
      </c>
    </row>
    <row r="247" spans="1:36" x14ac:dyDescent="0.3">
      <c r="A247" t="s">
        <v>791</v>
      </c>
      <c r="B247" t="s">
        <v>370</v>
      </c>
      <c r="C247" t="s">
        <v>490</v>
      </c>
      <c r="D247" s="9" t="s">
        <v>496</v>
      </c>
      <c r="E247" t="s">
        <v>50</v>
      </c>
      <c r="F247" t="s">
        <v>142</v>
      </c>
      <c r="G247" s="4">
        <v>6.86</v>
      </c>
      <c r="H247" s="4">
        <v>1063.9000000000001</v>
      </c>
      <c r="I247" s="4">
        <v>656.6</v>
      </c>
      <c r="J247" s="4">
        <v>30.1</v>
      </c>
      <c r="K247" s="4">
        <v>46.63</v>
      </c>
      <c r="L247" s="4">
        <v>24.26</v>
      </c>
      <c r="M247" s="4">
        <v>84.65</v>
      </c>
      <c r="N247" s="4">
        <v>6.92</v>
      </c>
      <c r="O247" s="4">
        <v>194.15</v>
      </c>
      <c r="P247" s="4">
        <v>99.45</v>
      </c>
      <c r="Q247" s="4">
        <v>53.99</v>
      </c>
      <c r="R247" s="4">
        <v>95.21</v>
      </c>
      <c r="S247" s="4">
        <v>0.81</v>
      </c>
      <c r="T247" s="4">
        <v>-3.21</v>
      </c>
      <c r="U247" s="4">
        <v>-23.49</v>
      </c>
      <c r="V247" s="4">
        <v>0.16900000000000001</v>
      </c>
      <c r="W247" s="4">
        <v>49.2</v>
      </c>
      <c r="X247" s="4">
        <v>-0.28000000000000003</v>
      </c>
      <c r="Y247" s="4">
        <v>-0.35</v>
      </c>
      <c r="Z247" s="4">
        <v>-0.7</v>
      </c>
      <c r="AA247" s="4">
        <v>-4.74</v>
      </c>
      <c r="AB247" s="4">
        <f t="shared" si="15"/>
        <v>8.1824464647251602</v>
      </c>
      <c r="AC247" s="4">
        <f t="shared" si="16"/>
        <v>8.689323532677248</v>
      </c>
      <c r="AD247" s="4">
        <f t="shared" si="17"/>
        <v>-3.0042910022488862</v>
      </c>
      <c r="AE247" s="4">
        <f t="shared" si="18"/>
        <v>2.5044722771075989</v>
      </c>
      <c r="AF247">
        <f t="shared" si="19"/>
        <v>47.164219159504135</v>
      </c>
      <c r="AG247" t="s">
        <v>637</v>
      </c>
      <c r="AH247" t="s">
        <v>506</v>
      </c>
      <c r="AI247" t="s">
        <v>487</v>
      </c>
      <c r="AJ247" t="s">
        <v>488</v>
      </c>
    </row>
    <row r="248" spans="1:36" x14ac:dyDescent="0.3">
      <c r="A248" t="s">
        <v>792</v>
      </c>
      <c r="B248" t="s">
        <v>372</v>
      </c>
      <c r="C248" t="s">
        <v>484</v>
      </c>
      <c r="D248" s="9" t="s">
        <v>649</v>
      </c>
      <c r="E248" t="s">
        <v>50</v>
      </c>
      <c r="F248" t="s">
        <v>101</v>
      </c>
      <c r="G248" s="4">
        <v>6.78</v>
      </c>
      <c r="H248" s="4">
        <v>584.79999999999995</v>
      </c>
      <c r="I248" s="4">
        <v>381.8</v>
      </c>
      <c r="J248" s="4">
        <v>28.8</v>
      </c>
      <c r="K248" s="4">
        <v>31.06</v>
      </c>
      <c r="L248" s="4">
        <v>11.68</v>
      </c>
      <c r="M248" s="4">
        <v>30.93</v>
      </c>
      <c r="N248" s="4">
        <v>3.62</v>
      </c>
      <c r="O248" s="4">
        <v>109.93</v>
      </c>
      <c r="P248" s="4">
        <v>37.93</v>
      </c>
      <c r="Q248" s="4">
        <v>29.67</v>
      </c>
      <c r="R248" s="4">
        <v>54.13</v>
      </c>
      <c r="S248" s="4">
        <v>0.41</v>
      </c>
      <c r="T248" s="4">
        <v>-4.28</v>
      </c>
      <c r="U248" s="4">
        <v>-25.45</v>
      </c>
      <c r="V248" s="4">
        <v>0.188</v>
      </c>
      <c r="W248" s="4">
        <v>67.3</v>
      </c>
      <c r="X248" s="4">
        <v>-0.56000000000000005</v>
      </c>
      <c r="Y248" s="4">
        <v>-0.56000000000000005</v>
      </c>
      <c r="Z248" s="4">
        <v>-0.95</v>
      </c>
      <c r="AA248" s="4">
        <v>-4.63</v>
      </c>
      <c r="AB248" s="4">
        <f t="shared" si="15"/>
        <v>3.9491105845793308</v>
      </c>
      <c r="AC248" s="4">
        <f t="shared" si="16"/>
        <v>4.3838413829875389</v>
      </c>
      <c r="AD248" s="4">
        <f t="shared" si="17"/>
        <v>-5.2170083315042142</v>
      </c>
      <c r="AE248" s="4">
        <f t="shared" si="18"/>
        <v>1.2007238103762823</v>
      </c>
      <c r="AF248">
        <f t="shared" si="19"/>
        <v>36.413615134277869</v>
      </c>
      <c r="AG248" t="s">
        <v>497</v>
      </c>
      <c r="AH248" t="s">
        <v>506</v>
      </c>
      <c r="AI248" t="s">
        <v>542</v>
      </c>
      <c r="AJ248" t="s">
        <v>543</v>
      </c>
    </row>
    <row r="249" spans="1:36" x14ac:dyDescent="0.3">
      <c r="A249" t="s">
        <v>793</v>
      </c>
      <c r="B249" t="s">
        <v>372</v>
      </c>
      <c r="C249" t="s">
        <v>490</v>
      </c>
      <c r="D249" s="9" t="s">
        <v>563</v>
      </c>
      <c r="E249" t="s">
        <v>50</v>
      </c>
      <c r="F249" t="s">
        <v>101</v>
      </c>
      <c r="G249" s="4">
        <v>6.87</v>
      </c>
      <c r="H249" s="4">
        <v>850.6</v>
      </c>
      <c r="I249" s="4">
        <v>491.6</v>
      </c>
      <c r="J249" s="4">
        <v>28.8</v>
      </c>
      <c r="K249" s="4">
        <v>51.82</v>
      </c>
      <c r="L249" s="4">
        <v>13.92</v>
      </c>
      <c r="M249" s="4">
        <v>50.85</v>
      </c>
      <c r="N249" s="4">
        <v>5.55</v>
      </c>
      <c r="O249" s="4">
        <v>172.91</v>
      </c>
      <c r="P249" s="4">
        <v>66.709999999999994</v>
      </c>
      <c r="Q249" s="4">
        <v>46.24</v>
      </c>
      <c r="R249" s="4">
        <v>30.11</v>
      </c>
      <c r="S249" s="4">
        <v>1.1100000000000001</v>
      </c>
      <c r="T249" s="4">
        <v>-3.17</v>
      </c>
      <c r="U249" s="4">
        <v>-19.29</v>
      </c>
      <c r="V249" s="4">
        <v>0.22800000000000001</v>
      </c>
      <c r="W249" s="4">
        <v>59.4</v>
      </c>
      <c r="X249" s="4">
        <v>-0.18</v>
      </c>
      <c r="Y249" s="4">
        <v>-0.75</v>
      </c>
      <c r="Z249" s="4">
        <v>-1.06</v>
      </c>
      <c r="AA249" s="4">
        <v>-5.05</v>
      </c>
      <c r="AB249" s="4">
        <f t="shared" si="15"/>
        <v>6.0852791460175588</v>
      </c>
      <c r="AC249" s="4">
        <f t="shared" si="16"/>
        <v>6.2222585944964308</v>
      </c>
      <c r="AD249" s="4">
        <f t="shared" si="17"/>
        <v>-1.1129719962422917</v>
      </c>
      <c r="AE249" s="4">
        <f t="shared" si="18"/>
        <v>1.6193843208247634</v>
      </c>
      <c r="AF249">
        <f t="shared" si="19"/>
        <v>38.681519483559512</v>
      </c>
      <c r="AG249" t="s">
        <v>497</v>
      </c>
      <c r="AH249" t="s">
        <v>48</v>
      </c>
      <c r="AI249" t="s">
        <v>487</v>
      </c>
      <c r="AJ249" t="s">
        <v>488</v>
      </c>
    </row>
    <row r="250" spans="1:36" x14ac:dyDescent="0.3">
      <c r="A250" t="s">
        <v>794</v>
      </c>
      <c r="B250" t="s">
        <v>374</v>
      </c>
      <c r="C250" t="s">
        <v>484</v>
      </c>
      <c r="D250" s="9" t="s">
        <v>520</v>
      </c>
      <c r="E250" t="s">
        <v>50</v>
      </c>
      <c r="F250" t="s">
        <v>101</v>
      </c>
      <c r="G250" s="4">
        <v>7.08</v>
      </c>
      <c r="H250" s="4">
        <v>639.6</v>
      </c>
      <c r="I250" s="4">
        <v>356.4</v>
      </c>
      <c r="J250" s="4">
        <v>28.9</v>
      </c>
      <c r="K250" s="4">
        <v>31.47</v>
      </c>
      <c r="L250" s="4">
        <v>9.9499999999999993</v>
      </c>
      <c r="M250" s="4">
        <v>34.44</v>
      </c>
      <c r="N250" s="4">
        <v>3.1</v>
      </c>
      <c r="O250" s="4">
        <v>113.55</v>
      </c>
      <c r="P250" s="4">
        <v>45.17</v>
      </c>
      <c r="Q250" s="4">
        <v>19.32</v>
      </c>
      <c r="R250" s="4">
        <v>19.38</v>
      </c>
      <c r="S250" s="4">
        <v>0.78</v>
      </c>
      <c r="T250" s="4">
        <v>-3.87</v>
      </c>
      <c r="U250" s="4">
        <v>-21.88</v>
      </c>
      <c r="V250" s="4">
        <v>0.23100000000000001</v>
      </c>
      <c r="W250" s="4">
        <v>69.3</v>
      </c>
      <c r="X250" s="4">
        <v>-0.11</v>
      </c>
      <c r="Y250" s="4">
        <v>-0.15</v>
      </c>
      <c r="Z250" s="4">
        <v>-0.91</v>
      </c>
      <c r="AA250" s="4">
        <v>-5.27</v>
      </c>
      <c r="AB250" s="4">
        <f t="shared" si="15"/>
        <v>3.9665949520820134</v>
      </c>
      <c r="AC250" s="4">
        <f t="shared" si="16"/>
        <v>3.890929951073085</v>
      </c>
      <c r="AD250" s="4">
        <f t="shared" si="17"/>
        <v>0.96296228063554667</v>
      </c>
      <c r="AE250" s="4">
        <f t="shared" si="18"/>
        <v>1.3706667521338158</v>
      </c>
      <c r="AF250">
        <f t="shared" si="19"/>
        <v>39.766997963123032</v>
      </c>
      <c r="AG250" t="s">
        <v>492</v>
      </c>
      <c r="AH250" t="s">
        <v>48</v>
      </c>
      <c r="AI250" t="s">
        <v>487</v>
      </c>
      <c r="AJ250" t="s">
        <v>488</v>
      </c>
    </row>
    <row r="251" spans="1:36" x14ac:dyDescent="0.3">
      <c r="A251" t="s">
        <v>795</v>
      </c>
      <c r="B251" t="s">
        <v>374</v>
      </c>
      <c r="C251" t="s">
        <v>490</v>
      </c>
      <c r="D251" s="9" t="s">
        <v>597</v>
      </c>
      <c r="E251" t="s">
        <v>50</v>
      </c>
      <c r="F251" t="s">
        <v>101</v>
      </c>
      <c r="G251" s="4">
        <v>7.36</v>
      </c>
      <c r="H251" s="4">
        <v>731.9</v>
      </c>
      <c r="I251" s="4">
        <v>466.6</v>
      </c>
      <c r="J251" s="4">
        <v>29</v>
      </c>
      <c r="K251" s="4">
        <v>48.73</v>
      </c>
      <c r="L251" s="4">
        <v>13.03</v>
      </c>
      <c r="M251" s="4">
        <v>44.73</v>
      </c>
      <c r="N251" s="4">
        <v>6.26</v>
      </c>
      <c r="O251" s="4">
        <v>159.61000000000001</v>
      </c>
      <c r="P251" s="4">
        <v>63.1</v>
      </c>
      <c r="Q251" s="4">
        <v>36.67</v>
      </c>
      <c r="R251" s="4">
        <v>25.08</v>
      </c>
      <c r="S251" s="4">
        <v>0.82</v>
      </c>
      <c r="T251" s="4">
        <v>-3.65</v>
      </c>
      <c r="U251" s="4">
        <v>-23.98</v>
      </c>
      <c r="V251" s="4">
        <v>0.17199999999999999</v>
      </c>
      <c r="W251" s="4">
        <v>60.9</v>
      </c>
      <c r="X251" s="4">
        <v>0.04</v>
      </c>
      <c r="Y251" s="4">
        <v>-0.34</v>
      </c>
      <c r="Z251" s="4">
        <v>-0.99</v>
      </c>
      <c r="AA251" s="4">
        <v>-4.6500000000000004</v>
      </c>
      <c r="AB251" s="4">
        <f t="shared" si="15"/>
        <v>5.609789095251986</v>
      </c>
      <c r="AC251" s="4">
        <f t="shared" si="16"/>
        <v>5.6068201760749785</v>
      </c>
      <c r="AD251" s="4">
        <f t="shared" si="17"/>
        <v>2.6468954255159188E-2</v>
      </c>
      <c r="AE251" s="4">
        <f t="shared" si="18"/>
        <v>1.46998840434949</v>
      </c>
      <c r="AF251">
        <f t="shared" si="19"/>
        <v>37.538374847897224</v>
      </c>
      <c r="AG251" t="s">
        <v>497</v>
      </c>
      <c r="AH251" t="s">
        <v>48</v>
      </c>
      <c r="AI251" t="s">
        <v>487</v>
      </c>
      <c r="AJ251" t="s">
        <v>488</v>
      </c>
    </row>
    <row r="252" spans="1:36" x14ac:dyDescent="0.3">
      <c r="A252" t="s">
        <v>796</v>
      </c>
      <c r="B252" t="s">
        <v>377</v>
      </c>
      <c r="C252" t="s">
        <v>484</v>
      </c>
      <c r="D252" s="9" t="s">
        <v>539</v>
      </c>
      <c r="E252" t="s">
        <v>50</v>
      </c>
      <c r="F252" t="s">
        <v>101</v>
      </c>
      <c r="G252" s="4">
        <v>6.85</v>
      </c>
      <c r="H252" s="4">
        <v>658</v>
      </c>
      <c r="I252" s="4">
        <v>362.5</v>
      </c>
      <c r="J252" s="4">
        <v>28.4</v>
      </c>
      <c r="K252" s="4">
        <v>31.37</v>
      </c>
      <c r="L252" s="4">
        <v>14.74</v>
      </c>
      <c r="M252" s="4">
        <v>31.05</v>
      </c>
      <c r="N252" s="4">
        <v>5.6</v>
      </c>
      <c r="O252" s="4">
        <v>128.06</v>
      </c>
      <c r="P252" s="4">
        <v>56.68</v>
      </c>
      <c r="Q252" s="4">
        <v>24.93</v>
      </c>
      <c r="R252" s="4">
        <v>16.809999999999999</v>
      </c>
      <c r="S252" s="4">
        <v>0.73</v>
      </c>
      <c r="T252" s="4">
        <v>-4.26</v>
      </c>
      <c r="U252" s="4">
        <v>-28.21</v>
      </c>
      <c r="V252" s="4">
        <v>0.17699999999999999</v>
      </c>
      <c r="W252" s="4">
        <v>60.4</v>
      </c>
      <c r="X252" s="4">
        <v>-0.24</v>
      </c>
      <c r="Y252" s="4">
        <v>-0.46</v>
      </c>
      <c r="Z252" s="4">
        <v>-1.1000000000000001</v>
      </c>
      <c r="AA252" s="4">
        <v>-4.71</v>
      </c>
      <c r="AB252" s="4">
        <f t="shared" si="15"/>
        <v>4.2722423238912759</v>
      </c>
      <c r="AC252" s="4">
        <f t="shared" si="16"/>
        <v>4.5261134109580778</v>
      </c>
      <c r="AD252" s="4">
        <f t="shared" si="17"/>
        <v>-2.8854378558626075</v>
      </c>
      <c r="AE252" s="4">
        <f t="shared" si="18"/>
        <v>1.1459396667103394</v>
      </c>
      <c r="AF252">
        <f t="shared" si="19"/>
        <v>34.96701920407898</v>
      </c>
      <c r="AG252" t="s">
        <v>497</v>
      </c>
      <c r="AH252" t="s">
        <v>48</v>
      </c>
      <c r="AI252" t="s">
        <v>487</v>
      </c>
      <c r="AJ252" t="s">
        <v>488</v>
      </c>
    </row>
    <row r="253" spans="1:36" x14ac:dyDescent="0.3">
      <c r="A253" t="s">
        <v>797</v>
      </c>
      <c r="B253" t="s">
        <v>377</v>
      </c>
      <c r="C253" t="s">
        <v>490</v>
      </c>
      <c r="D253" s="9" t="s">
        <v>510</v>
      </c>
      <c r="E253" t="s">
        <v>50</v>
      </c>
      <c r="F253" t="s">
        <v>101</v>
      </c>
      <c r="G253" s="4">
        <v>6.94</v>
      </c>
      <c r="H253" s="4">
        <v>730.8</v>
      </c>
      <c r="I253" s="4">
        <v>483.9</v>
      </c>
      <c r="J253" s="4">
        <v>28.8</v>
      </c>
      <c r="K253" s="4">
        <v>50.06</v>
      </c>
      <c r="L253" s="4">
        <v>16.61</v>
      </c>
      <c r="M253" s="4">
        <v>41.61</v>
      </c>
      <c r="N253" s="4">
        <v>5.1100000000000003</v>
      </c>
      <c r="O253" s="4">
        <v>160.09</v>
      </c>
      <c r="P253" s="4">
        <v>71.95</v>
      </c>
      <c r="Q253" s="4">
        <v>51.88</v>
      </c>
      <c r="R253" s="4">
        <v>7.16</v>
      </c>
      <c r="S253" s="4">
        <v>0.63</v>
      </c>
      <c r="T253" s="4">
        <v>-2.64</v>
      </c>
      <c r="U253" s="4">
        <v>-20.83</v>
      </c>
      <c r="V253" s="4">
        <v>0.184</v>
      </c>
      <c r="W253" s="4">
        <v>69</v>
      </c>
      <c r="X253" s="4">
        <v>-0.65</v>
      </c>
      <c r="Y253" s="4">
        <v>-1.23</v>
      </c>
      <c r="Z253" s="4">
        <v>-0.89</v>
      </c>
      <c r="AA253" s="4">
        <v>-5.13</v>
      </c>
      <c r="AB253" s="4">
        <f t="shared" si="15"/>
        <v>5.8056189119416537</v>
      </c>
      <c r="AC253" s="4">
        <f t="shared" si="16"/>
        <v>5.8819798379611221</v>
      </c>
      <c r="AD253" s="4">
        <f t="shared" si="17"/>
        <v>-0.65334999646615721</v>
      </c>
      <c r="AE253" s="4">
        <f t="shared" si="18"/>
        <v>1.3020332172586855</v>
      </c>
      <c r="AF253">
        <f t="shared" si="19"/>
        <v>33.427845280313669</v>
      </c>
      <c r="AG253" t="s">
        <v>486</v>
      </c>
      <c r="AH253" t="s">
        <v>48</v>
      </c>
      <c r="AI253" t="s">
        <v>487</v>
      </c>
      <c r="AJ253" t="s">
        <v>488</v>
      </c>
    </row>
    <row r="254" spans="1:36" x14ac:dyDescent="0.3">
      <c r="A254" t="s">
        <v>798</v>
      </c>
      <c r="B254" t="s">
        <v>380</v>
      </c>
      <c r="C254" t="s">
        <v>484</v>
      </c>
      <c r="D254" s="9" t="s">
        <v>666</v>
      </c>
      <c r="E254" t="s">
        <v>50</v>
      </c>
      <c r="F254" t="s">
        <v>101</v>
      </c>
      <c r="G254" s="4">
        <v>7.41</v>
      </c>
      <c r="H254" s="4">
        <v>569</v>
      </c>
      <c r="I254" s="4">
        <v>356.7</v>
      </c>
      <c r="J254" s="4">
        <v>29.1</v>
      </c>
      <c r="K254" s="4">
        <v>35.47</v>
      </c>
      <c r="L254" s="4">
        <v>13.98</v>
      </c>
      <c r="M254" s="4">
        <v>28.3</v>
      </c>
      <c r="N254" s="4">
        <v>3.35</v>
      </c>
      <c r="O254" s="4">
        <v>122.13</v>
      </c>
      <c r="P254" s="4">
        <v>42.68</v>
      </c>
      <c r="Q254" s="4">
        <v>21.02</v>
      </c>
      <c r="R254" s="4">
        <v>22.29</v>
      </c>
      <c r="S254" s="4">
        <v>0.3</v>
      </c>
      <c r="T254" s="4">
        <v>-3.19</v>
      </c>
      <c r="U254" s="4">
        <v>-23.42</v>
      </c>
      <c r="V254" s="4">
        <v>0.21</v>
      </c>
      <c r="W254" s="4">
        <v>55.3</v>
      </c>
      <c r="X254" s="4">
        <v>-0.31</v>
      </c>
      <c r="Y254" s="4">
        <v>-0.52</v>
      </c>
      <c r="Z254" s="4">
        <v>-1.1200000000000001</v>
      </c>
      <c r="AA254" s="4">
        <v>-5.13</v>
      </c>
      <c r="AB254" s="4">
        <f t="shared" si="15"/>
        <v>4.2371346508090157</v>
      </c>
      <c r="AC254" s="4">
        <f t="shared" si="16"/>
        <v>4.0183754768070674</v>
      </c>
      <c r="AD254" s="4">
        <f t="shared" si="17"/>
        <v>2.6498565275834589</v>
      </c>
      <c r="AE254" s="4">
        <f t="shared" si="18"/>
        <v>1.0187274955449008</v>
      </c>
      <c r="AF254">
        <f t="shared" si="19"/>
        <v>31.075379320810658</v>
      </c>
      <c r="AG254" t="s">
        <v>486</v>
      </c>
      <c r="AH254" t="s">
        <v>48</v>
      </c>
      <c r="AI254" t="s">
        <v>487</v>
      </c>
      <c r="AJ254" t="s">
        <v>488</v>
      </c>
    </row>
    <row r="255" spans="1:36" x14ac:dyDescent="0.3">
      <c r="A255" t="s">
        <v>799</v>
      </c>
      <c r="B255" t="s">
        <v>380</v>
      </c>
      <c r="C255" t="s">
        <v>490</v>
      </c>
      <c r="D255" s="9" t="s">
        <v>560</v>
      </c>
      <c r="E255" t="s">
        <v>50</v>
      </c>
      <c r="F255" t="s">
        <v>101</v>
      </c>
      <c r="G255" s="4">
        <v>7.1</v>
      </c>
      <c r="H255" s="4">
        <v>738.1</v>
      </c>
      <c r="I255" s="4">
        <v>517.6</v>
      </c>
      <c r="J255" s="4">
        <v>30</v>
      </c>
      <c r="K255" s="4">
        <v>43.32</v>
      </c>
      <c r="L255" s="4">
        <v>18.29</v>
      </c>
      <c r="M255" s="4">
        <v>56.1</v>
      </c>
      <c r="N255" s="4">
        <v>6.97</v>
      </c>
      <c r="O255" s="4">
        <v>191.49</v>
      </c>
      <c r="P255" s="4">
        <v>77.3</v>
      </c>
      <c r="Q255" s="4">
        <v>45.95</v>
      </c>
      <c r="R255" s="4">
        <v>16.95</v>
      </c>
      <c r="S255" s="4">
        <v>0.9</v>
      </c>
      <c r="T255" s="4">
        <v>-3.69</v>
      </c>
      <c r="U255" s="4">
        <v>-21.6</v>
      </c>
      <c r="V255" s="4">
        <v>0.13</v>
      </c>
      <c r="W255" s="4">
        <v>56.1</v>
      </c>
      <c r="X255" s="4">
        <v>0.35</v>
      </c>
      <c r="Y255" s="4">
        <v>0.34</v>
      </c>
      <c r="Z255" s="4">
        <v>-0.9</v>
      </c>
      <c r="AA255" s="4">
        <v>-4.45</v>
      </c>
      <c r="AB255" s="4">
        <f t="shared" si="15"/>
        <v>6.2853921572259912</v>
      </c>
      <c r="AC255" s="4">
        <f t="shared" si="16"/>
        <v>6.5961412363321674</v>
      </c>
      <c r="AD255" s="4">
        <f t="shared" si="17"/>
        <v>-2.4123609326012128</v>
      </c>
      <c r="AE255" s="4">
        <f t="shared" si="18"/>
        <v>1.8022403490839001</v>
      </c>
      <c r="AF255">
        <f t="shared" si="19"/>
        <v>41.661163795918256</v>
      </c>
      <c r="AG255" t="s">
        <v>492</v>
      </c>
      <c r="AH255" t="s">
        <v>48</v>
      </c>
      <c r="AI255" t="s">
        <v>487</v>
      </c>
      <c r="AJ255" t="s">
        <v>488</v>
      </c>
    </row>
    <row r="256" spans="1:36" x14ac:dyDescent="0.3">
      <c r="A256" t="s">
        <v>800</v>
      </c>
      <c r="B256" t="s">
        <v>382</v>
      </c>
      <c r="C256" t="s">
        <v>484</v>
      </c>
      <c r="D256" s="9" t="s">
        <v>662</v>
      </c>
      <c r="E256" t="s">
        <v>50</v>
      </c>
      <c r="F256" t="s">
        <v>142</v>
      </c>
      <c r="G256" s="4">
        <v>6.71</v>
      </c>
      <c r="H256" s="4">
        <v>612.9</v>
      </c>
      <c r="I256" s="4">
        <v>378.3</v>
      </c>
      <c r="J256" s="4">
        <v>29.2</v>
      </c>
      <c r="K256" s="4">
        <v>31.5</v>
      </c>
      <c r="L256" s="4">
        <v>9.1300000000000008</v>
      </c>
      <c r="M256" s="4">
        <v>33.71</v>
      </c>
      <c r="N256" s="4">
        <v>2.56</v>
      </c>
      <c r="O256" s="4">
        <v>95.2</v>
      </c>
      <c r="P256" s="4">
        <v>32.93</v>
      </c>
      <c r="Q256" s="4">
        <v>29.94</v>
      </c>
      <c r="R256" s="4">
        <v>86.28</v>
      </c>
      <c r="S256" s="4">
        <v>0.21</v>
      </c>
      <c r="T256" s="4">
        <v>-4.28</v>
      </c>
      <c r="U256" s="4">
        <v>-28.16</v>
      </c>
      <c r="V256" s="4">
        <v>0.13</v>
      </c>
      <c r="W256" s="4">
        <v>48.1</v>
      </c>
      <c r="X256" s="4">
        <v>-0.27</v>
      </c>
      <c r="Y256" s="4">
        <v>-0.69</v>
      </c>
      <c r="Z256" s="4">
        <v>-0.84</v>
      </c>
      <c r="AA256" s="4">
        <v>-5.28</v>
      </c>
      <c r="AB256" s="4">
        <f t="shared" si="15"/>
        <v>3.8550504393176426</v>
      </c>
      <c r="AC256" s="4">
        <f t="shared" si="16"/>
        <v>4.5149989767069112</v>
      </c>
      <c r="AD256" s="4">
        <f t="shared" si="17"/>
        <v>-7.8846432629870709</v>
      </c>
      <c r="AE256" s="4">
        <f t="shared" si="18"/>
        <v>1.3605310484017938</v>
      </c>
      <c r="AF256">
        <f t="shared" si="19"/>
        <v>39.735666043135879</v>
      </c>
      <c r="AG256" t="s">
        <v>497</v>
      </c>
      <c r="AH256" t="s">
        <v>506</v>
      </c>
      <c r="AI256" t="s">
        <v>542</v>
      </c>
      <c r="AJ256" t="s">
        <v>543</v>
      </c>
    </row>
    <row r="257" spans="1:36" x14ac:dyDescent="0.3">
      <c r="A257" t="s">
        <v>801</v>
      </c>
      <c r="B257" t="s">
        <v>382</v>
      </c>
      <c r="C257" t="s">
        <v>490</v>
      </c>
      <c r="D257" s="9" t="s">
        <v>491</v>
      </c>
      <c r="E257" t="s">
        <v>50</v>
      </c>
      <c r="F257" t="s">
        <v>142</v>
      </c>
      <c r="G257" s="4">
        <v>7.13</v>
      </c>
      <c r="H257" s="4">
        <v>692.6</v>
      </c>
      <c r="I257" s="4">
        <v>498.1</v>
      </c>
      <c r="J257" s="4">
        <v>28.9</v>
      </c>
      <c r="K257" s="4">
        <v>40.71</v>
      </c>
      <c r="L257" s="4">
        <v>17.399999999999999</v>
      </c>
      <c r="M257" s="4">
        <v>49.07</v>
      </c>
      <c r="N257" s="4">
        <v>6.24</v>
      </c>
      <c r="O257" s="4">
        <v>155.77000000000001</v>
      </c>
      <c r="P257" s="4">
        <v>59.63</v>
      </c>
      <c r="Q257" s="4">
        <v>34.71</v>
      </c>
      <c r="R257" s="4">
        <v>98.64</v>
      </c>
      <c r="S257" s="4">
        <v>0.83</v>
      </c>
      <c r="T257" s="4">
        <v>-3.13</v>
      </c>
      <c r="U257" s="4">
        <v>-18.82</v>
      </c>
      <c r="V257" s="4">
        <v>0.16600000000000001</v>
      </c>
      <c r="W257" s="4">
        <v>24.6</v>
      </c>
      <c r="X257" s="4">
        <v>0.09</v>
      </c>
      <c r="Y257" s="4">
        <v>0.28000000000000003</v>
      </c>
      <c r="Z257" s="4">
        <v>-0.87</v>
      </c>
      <c r="AA257" s="4">
        <v>-4.8</v>
      </c>
      <c r="AB257" s="4">
        <f t="shared" si="15"/>
        <v>5.7574407201862341</v>
      </c>
      <c r="AC257" s="4">
        <f t="shared" si="16"/>
        <v>6.5920861976189356</v>
      </c>
      <c r="AD257" s="4">
        <f t="shared" si="17"/>
        <v>-6.7585218687959223</v>
      </c>
      <c r="AE257" s="4">
        <f t="shared" si="18"/>
        <v>1.6220462925122821</v>
      </c>
      <c r="AF257">
        <f t="shared" si="19"/>
        <v>39.845795662197069</v>
      </c>
      <c r="AG257" t="s">
        <v>492</v>
      </c>
      <c r="AH257" t="s">
        <v>506</v>
      </c>
      <c r="AI257" t="s">
        <v>542</v>
      </c>
      <c r="AJ257" t="s">
        <v>543</v>
      </c>
    </row>
    <row r="258" spans="1:36" x14ac:dyDescent="0.3">
      <c r="A258" t="s">
        <v>802</v>
      </c>
      <c r="B258" t="s">
        <v>384</v>
      </c>
      <c r="C258" t="s">
        <v>484</v>
      </c>
      <c r="D258" s="9" t="s">
        <v>570</v>
      </c>
      <c r="E258" t="s">
        <v>50</v>
      </c>
      <c r="F258" t="s">
        <v>277</v>
      </c>
      <c r="G258" s="4">
        <v>6.95</v>
      </c>
      <c r="H258" s="4">
        <v>628.79999999999995</v>
      </c>
      <c r="I258" s="4">
        <v>368.9</v>
      </c>
      <c r="J258" s="4">
        <v>28.7</v>
      </c>
      <c r="K258" s="4">
        <v>30.62</v>
      </c>
      <c r="L258" s="4">
        <v>10.92</v>
      </c>
      <c r="M258" s="4">
        <v>37.869999999999997</v>
      </c>
      <c r="N258" s="4">
        <v>4.5999999999999996</v>
      </c>
      <c r="O258" s="4">
        <v>118.29</v>
      </c>
      <c r="P258" s="4">
        <v>47.64</v>
      </c>
      <c r="Q258" s="4">
        <v>31.88</v>
      </c>
      <c r="R258" s="4">
        <v>27.54</v>
      </c>
      <c r="S258" s="4">
        <v>0.84</v>
      </c>
      <c r="T258" s="4">
        <v>-4.3600000000000003</v>
      </c>
      <c r="U258" s="4">
        <v>-25.17</v>
      </c>
      <c r="V258" s="4">
        <v>0.221</v>
      </c>
      <c r="W258" s="4">
        <v>58.6</v>
      </c>
      <c r="X258" s="4">
        <v>7.0000000000000007E-2</v>
      </c>
      <c r="Y258" s="4">
        <v>-0.5</v>
      </c>
      <c r="Z258" s="4">
        <v>-0.76</v>
      </c>
      <c r="AA258" s="4">
        <v>-4.51</v>
      </c>
      <c r="AB258" s="4">
        <f t="shared" ref="AB258:AB321" si="20">K258/20.039+L258/12.1525+M258/22.989+N258/39.098</f>
        <v>4.1915635590088645</v>
      </c>
      <c r="AC258" s="4">
        <f t="shared" ref="AC258:AC321" si="21">O258/61.016+P258/35.453+Q258/48.03+R258/62.0049+S258/18.998</f>
        <v>4.434548153098187</v>
      </c>
      <c r="AD258" s="4">
        <f t="shared" ref="AD258:AD321" si="22">100*(AB258-AC258)/(AB258+AC258)</f>
        <v>-2.8168496096368085</v>
      </c>
      <c r="AE258" s="4">
        <f t="shared" ref="AE258:AE321" si="23">(M258/22.989)/SQRT(((K258/20.039)+(L258/12.1525))/2)</f>
        <v>1.4955159373818279</v>
      </c>
      <c r="AF258">
        <f t="shared" ref="AF258:AF321" si="24">100*((M258/22.989)+(N258/39.098))/AB258</f>
        <v>42.107500813969267</v>
      </c>
      <c r="AG258" t="s">
        <v>492</v>
      </c>
      <c r="AH258" t="s">
        <v>48</v>
      </c>
      <c r="AI258" t="s">
        <v>487</v>
      </c>
      <c r="AJ258" t="s">
        <v>488</v>
      </c>
    </row>
    <row r="259" spans="1:36" x14ac:dyDescent="0.3">
      <c r="A259" t="s">
        <v>803</v>
      </c>
      <c r="B259" t="s">
        <v>384</v>
      </c>
      <c r="C259" t="s">
        <v>490</v>
      </c>
      <c r="D259" s="9" t="s">
        <v>529</v>
      </c>
      <c r="E259" t="s">
        <v>50</v>
      </c>
      <c r="F259" t="s">
        <v>277</v>
      </c>
      <c r="G259" s="4">
        <v>7.28</v>
      </c>
      <c r="H259" s="4">
        <v>732.7</v>
      </c>
      <c r="I259" s="4">
        <v>501.6</v>
      </c>
      <c r="J259" s="4">
        <v>29.4</v>
      </c>
      <c r="K259" s="4">
        <v>46.08</v>
      </c>
      <c r="L259" s="4">
        <v>16.7</v>
      </c>
      <c r="M259" s="4">
        <v>50.92</v>
      </c>
      <c r="N259" s="4">
        <v>6.51</v>
      </c>
      <c r="O259" s="4">
        <v>171.16</v>
      </c>
      <c r="P259" s="4">
        <v>80.17</v>
      </c>
      <c r="Q259" s="4">
        <v>34.229999999999997</v>
      </c>
      <c r="R259" s="4">
        <v>37.020000000000003</v>
      </c>
      <c r="S259" s="4">
        <v>1.04</v>
      </c>
      <c r="T259" s="4">
        <v>-3.42</v>
      </c>
      <c r="U259" s="4">
        <v>-22.47</v>
      </c>
      <c r="V259" s="4">
        <v>0.22700000000000001</v>
      </c>
      <c r="W259" s="4">
        <v>48.5</v>
      </c>
      <c r="X259" s="4">
        <v>-0.14000000000000001</v>
      </c>
      <c r="Y259" s="4">
        <v>-0.63</v>
      </c>
      <c r="Z259" s="4">
        <v>-1</v>
      </c>
      <c r="AA259" s="4">
        <v>-4.74</v>
      </c>
      <c r="AB259" s="4">
        <f t="shared" si="20"/>
        <v>6.0551958414715994</v>
      </c>
      <c r="AC259" s="4">
        <f t="shared" si="21"/>
        <v>6.4309413237556408</v>
      </c>
      <c r="AD259" s="4">
        <f t="shared" si="22"/>
        <v>-3.009301253957537</v>
      </c>
      <c r="AE259" s="4">
        <f t="shared" si="23"/>
        <v>1.6342946468876085</v>
      </c>
      <c r="AF259">
        <f t="shared" si="24"/>
        <v>39.32948035024112</v>
      </c>
      <c r="AG259" t="s">
        <v>606</v>
      </c>
      <c r="AH259" t="s">
        <v>48</v>
      </c>
      <c r="AI259" t="s">
        <v>487</v>
      </c>
      <c r="AJ259" t="s">
        <v>488</v>
      </c>
    </row>
    <row r="260" spans="1:36" x14ac:dyDescent="0.3">
      <c r="A260" t="s">
        <v>804</v>
      </c>
      <c r="B260" t="s">
        <v>386</v>
      </c>
      <c r="C260" t="s">
        <v>484</v>
      </c>
      <c r="D260" s="9" t="s">
        <v>494</v>
      </c>
      <c r="E260" t="s">
        <v>50</v>
      </c>
      <c r="F260" t="s">
        <v>277</v>
      </c>
      <c r="G260" s="4">
        <v>7.27</v>
      </c>
      <c r="H260" s="4">
        <v>618.9</v>
      </c>
      <c r="I260" s="4">
        <v>429.2</v>
      </c>
      <c r="J260" s="4">
        <v>29.3</v>
      </c>
      <c r="K260" s="4">
        <v>37.869999999999997</v>
      </c>
      <c r="L260" s="4">
        <v>14.28</v>
      </c>
      <c r="M260" s="4">
        <v>33.659999999999997</v>
      </c>
      <c r="N260" s="4">
        <v>5.03</v>
      </c>
      <c r="O260" s="4">
        <v>128.72</v>
      </c>
      <c r="P260" s="4">
        <v>44.62</v>
      </c>
      <c r="Q260" s="4">
        <v>34.03</v>
      </c>
      <c r="R260" s="4">
        <v>61.58</v>
      </c>
      <c r="S260" s="4">
        <v>0.85</v>
      </c>
      <c r="T260" s="4">
        <v>-3.31</v>
      </c>
      <c r="U260" s="4">
        <v>-20.87</v>
      </c>
      <c r="V260" s="4">
        <v>0.23300000000000001</v>
      </c>
      <c r="W260" s="4">
        <v>61.9</v>
      </c>
      <c r="X260" s="4">
        <v>0.39</v>
      </c>
      <c r="Y260" s="4">
        <v>0.48</v>
      </c>
      <c r="Z260" s="4">
        <v>-0.87</v>
      </c>
      <c r="AA260" s="4">
        <v>-4.9400000000000004</v>
      </c>
      <c r="AB260" s="4">
        <f t="shared" si="20"/>
        <v>4.6577113217506527</v>
      </c>
      <c r="AC260" s="4">
        <f t="shared" si="21"/>
        <v>5.1145826537557211</v>
      </c>
      <c r="AD260" s="4">
        <f t="shared" si="22"/>
        <v>-4.6751697518534234</v>
      </c>
      <c r="AE260" s="4">
        <f t="shared" si="23"/>
        <v>1.1827750909528649</v>
      </c>
      <c r="AF260">
        <f t="shared" si="24"/>
        <v>34.197688350078032</v>
      </c>
      <c r="AG260" t="s">
        <v>497</v>
      </c>
      <c r="AH260" t="s">
        <v>506</v>
      </c>
      <c r="AI260" t="s">
        <v>487</v>
      </c>
      <c r="AJ260" t="s">
        <v>488</v>
      </c>
    </row>
    <row r="261" spans="1:36" x14ac:dyDescent="0.3">
      <c r="A261" t="s">
        <v>805</v>
      </c>
      <c r="B261" t="s">
        <v>386</v>
      </c>
      <c r="C261" t="s">
        <v>490</v>
      </c>
      <c r="D261" s="9" t="s">
        <v>597</v>
      </c>
      <c r="E261" t="s">
        <v>50</v>
      </c>
      <c r="F261" t="s">
        <v>277</v>
      </c>
      <c r="G261" s="4">
        <v>6.93</v>
      </c>
      <c r="H261" s="4">
        <v>828.2</v>
      </c>
      <c r="I261" s="4">
        <v>468.2</v>
      </c>
      <c r="J261" s="4">
        <v>29.9</v>
      </c>
      <c r="K261" s="4">
        <v>51.99</v>
      </c>
      <c r="L261" s="4">
        <v>9.61</v>
      </c>
      <c r="M261" s="4">
        <v>48.06</v>
      </c>
      <c r="N261" s="4">
        <v>7.32</v>
      </c>
      <c r="O261" s="4">
        <v>135.56</v>
      </c>
      <c r="P261" s="4">
        <v>68.680000000000007</v>
      </c>
      <c r="Q261" s="4">
        <v>33.57</v>
      </c>
      <c r="R261" s="4">
        <v>50.58</v>
      </c>
      <c r="S261" s="4">
        <v>0.75</v>
      </c>
      <c r="T261" s="4">
        <v>-2.99</v>
      </c>
      <c r="U261" s="4">
        <v>-22.13</v>
      </c>
      <c r="V261" s="4">
        <v>0.21</v>
      </c>
      <c r="W261" s="4">
        <v>60.6</v>
      </c>
      <c r="X261" s="4">
        <v>-0.24</v>
      </c>
      <c r="Y261" s="4">
        <v>-0.53</v>
      </c>
      <c r="Z261" s="4">
        <v>-1.17</v>
      </c>
      <c r="AA261" s="4">
        <v>-5.05</v>
      </c>
      <c r="AB261" s="4">
        <f t="shared" si="20"/>
        <v>5.6630115353366088</v>
      </c>
      <c r="AC261" s="4">
        <f t="shared" si="21"/>
        <v>5.7130829705806958</v>
      </c>
      <c r="AD261" s="4">
        <f t="shared" si="22"/>
        <v>-0.44014609071718053</v>
      </c>
      <c r="AE261" s="4">
        <f t="shared" si="23"/>
        <v>1.606885522895507</v>
      </c>
      <c r="AF261">
        <f t="shared" si="24"/>
        <v>40.222183751850068</v>
      </c>
      <c r="AG261" t="s">
        <v>608</v>
      </c>
      <c r="AH261" t="s">
        <v>506</v>
      </c>
      <c r="AI261" t="s">
        <v>487</v>
      </c>
      <c r="AJ261" t="s">
        <v>488</v>
      </c>
    </row>
    <row r="262" spans="1:36" x14ac:dyDescent="0.3">
      <c r="A262" t="s">
        <v>806</v>
      </c>
      <c r="B262" t="s">
        <v>389</v>
      </c>
      <c r="C262" t="s">
        <v>484</v>
      </c>
      <c r="D262" s="9" t="s">
        <v>649</v>
      </c>
      <c r="E262" t="s">
        <v>50</v>
      </c>
      <c r="F262" t="s">
        <v>101</v>
      </c>
      <c r="G262" s="4">
        <v>6.58</v>
      </c>
      <c r="H262" s="4">
        <v>593.70000000000005</v>
      </c>
      <c r="I262" s="4">
        <v>361</v>
      </c>
      <c r="J262" s="4">
        <v>28.9</v>
      </c>
      <c r="K262" s="4">
        <v>30.5</v>
      </c>
      <c r="L262" s="4">
        <v>10.84</v>
      </c>
      <c r="M262" s="4">
        <v>32</v>
      </c>
      <c r="N262" s="4">
        <v>2.9</v>
      </c>
      <c r="O262" s="4">
        <v>118.54</v>
      </c>
      <c r="P262" s="4">
        <v>39.369999999999997</v>
      </c>
      <c r="Q262" s="4">
        <v>27.69</v>
      </c>
      <c r="R262" s="4">
        <v>22.46</v>
      </c>
      <c r="S262" s="4">
        <v>0.43</v>
      </c>
      <c r="T262" s="4">
        <v>-4.16</v>
      </c>
      <c r="U262" s="4">
        <v>-26.75</v>
      </c>
      <c r="V262" s="4">
        <v>0.16500000000000001</v>
      </c>
      <c r="W262" s="4">
        <v>59.7</v>
      </c>
      <c r="X262" s="4">
        <v>-0.17</v>
      </c>
      <c r="Y262" s="4">
        <v>-0.37</v>
      </c>
      <c r="Z262" s="4">
        <v>-0.85</v>
      </c>
      <c r="AA262" s="4">
        <v>-4.8</v>
      </c>
      <c r="AB262" s="4">
        <f t="shared" si="20"/>
        <v>3.8801722334908435</v>
      </c>
      <c r="AC262" s="4">
        <f t="shared" si="21"/>
        <v>4.0146314894051232</v>
      </c>
      <c r="AD262" s="4">
        <f t="shared" si="22"/>
        <v>-1.7031361466825345</v>
      </c>
      <c r="AE262" s="4">
        <f t="shared" si="23"/>
        <v>1.2669912137945767</v>
      </c>
      <c r="AF262">
        <f t="shared" si="24"/>
        <v>37.78550477572081</v>
      </c>
      <c r="AG262" t="s">
        <v>497</v>
      </c>
      <c r="AH262" t="s">
        <v>48</v>
      </c>
      <c r="AI262" t="s">
        <v>487</v>
      </c>
      <c r="AJ262" t="s">
        <v>488</v>
      </c>
    </row>
    <row r="263" spans="1:36" x14ac:dyDescent="0.3">
      <c r="A263" t="s">
        <v>807</v>
      </c>
      <c r="B263" t="s">
        <v>389</v>
      </c>
      <c r="C263" t="s">
        <v>490</v>
      </c>
      <c r="D263" s="9" t="s">
        <v>611</v>
      </c>
      <c r="E263" t="s">
        <v>50</v>
      </c>
      <c r="F263" t="s">
        <v>101</v>
      </c>
      <c r="G263" s="4">
        <v>6.66</v>
      </c>
      <c r="H263" s="4">
        <v>761.9</v>
      </c>
      <c r="I263" s="4">
        <v>537.20000000000005</v>
      </c>
      <c r="J263" s="4">
        <v>30.7</v>
      </c>
      <c r="K263" s="4">
        <v>54.16</v>
      </c>
      <c r="L263" s="4">
        <v>15.37</v>
      </c>
      <c r="M263" s="4">
        <v>44.36</v>
      </c>
      <c r="N263" s="4">
        <v>6</v>
      </c>
      <c r="O263" s="4">
        <v>173.25</v>
      </c>
      <c r="P263" s="4">
        <v>68.040000000000006</v>
      </c>
      <c r="Q263" s="4">
        <v>43.97</v>
      </c>
      <c r="R263" s="4">
        <v>47.52</v>
      </c>
      <c r="S263" s="4">
        <v>0.37</v>
      </c>
      <c r="T263" s="4">
        <v>-2.99</v>
      </c>
      <c r="U263" s="4">
        <v>-16.55</v>
      </c>
      <c r="V263" s="4">
        <v>0.11799999999999999</v>
      </c>
      <c r="W263" s="4">
        <v>66.900000000000006</v>
      </c>
      <c r="X263" s="4">
        <v>-0.24</v>
      </c>
      <c r="Y263" s="4">
        <v>-0.69</v>
      </c>
      <c r="Z263" s="4">
        <v>-0.93</v>
      </c>
      <c r="AA263" s="4">
        <v>-4.4000000000000004</v>
      </c>
      <c r="AB263" s="4">
        <f t="shared" si="20"/>
        <v>6.050569062776435</v>
      </c>
      <c r="AC263" s="4">
        <f t="shared" si="21"/>
        <v>6.459916023343693</v>
      </c>
      <c r="AD263" s="4">
        <f t="shared" si="22"/>
        <v>-3.2720310823231924</v>
      </c>
      <c r="AE263" s="4">
        <f t="shared" si="23"/>
        <v>1.3700251314681657</v>
      </c>
      <c r="AF263">
        <f t="shared" si="24"/>
        <v>34.427820369541109</v>
      </c>
      <c r="AG263" t="s">
        <v>486</v>
      </c>
      <c r="AH263" t="s">
        <v>48</v>
      </c>
      <c r="AI263" t="s">
        <v>487</v>
      </c>
      <c r="AJ263" t="s">
        <v>488</v>
      </c>
    </row>
    <row r="264" spans="1:36" x14ac:dyDescent="0.3">
      <c r="A264" t="s">
        <v>808</v>
      </c>
      <c r="B264" t="s">
        <v>391</v>
      </c>
      <c r="C264" t="s">
        <v>484</v>
      </c>
      <c r="D264" s="9" t="s">
        <v>485</v>
      </c>
      <c r="E264" t="s">
        <v>50</v>
      </c>
      <c r="F264" t="s">
        <v>142</v>
      </c>
      <c r="G264" s="4">
        <v>7.08</v>
      </c>
      <c r="H264" s="4">
        <v>627.9</v>
      </c>
      <c r="I264" s="4">
        <v>439.7</v>
      </c>
      <c r="J264" s="4">
        <v>29.5</v>
      </c>
      <c r="K264" s="4">
        <v>32.020000000000003</v>
      </c>
      <c r="L264" s="4">
        <v>10.4</v>
      </c>
      <c r="M264" s="4">
        <v>48.99</v>
      </c>
      <c r="N264" s="4">
        <v>4.7300000000000004</v>
      </c>
      <c r="O264" s="4">
        <v>122.06</v>
      </c>
      <c r="P264" s="4">
        <v>56.36</v>
      </c>
      <c r="Q264" s="4">
        <v>30.39</v>
      </c>
      <c r="R264" s="4">
        <v>83.89</v>
      </c>
      <c r="S264" s="4">
        <v>0.65</v>
      </c>
      <c r="T264" s="4">
        <v>-3.86</v>
      </c>
      <c r="U264" s="4">
        <v>-24.98</v>
      </c>
      <c r="V264" s="4">
        <v>0.14399999999999999</v>
      </c>
      <c r="W264" s="4">
        <v>34.5</v>
      </c>
      <c r="X264" s="4">
        <v>-0.39</v>
      </c>
      <c r="Y264" s="4">
        <v>-0.57999999999999996</v>
      </c>
      <c r="Z264" s="4">
        <v>-1.44</v>
      </c>
      <c r="AA264" s="4">
        <v>-5.33</v>
      </c>
      <c r="AB264" s="4">
        <f t="shared" si="20"/>
        <v>4.7056723536937692</v>
      </c>
      <c r="AC264" s="4">
        <f t="shared" si="21"/>
        <v>5.6100704774071852</v>
      </c>
      <c r="AD264" s="4">
        <f t="shared" si="22"/>
        <v>-8.7671643091638938</v>
      </c>
      <c r="AE264" s="4">
        <f t="shared" si="23"/>
        <v>1.9239502059117612</v>
      </c>
      <c r="AF264">
        <f t="shared" si="24"/>
        <v>47.857076926814067</v>
      </c>
      <c r="AG264" t="s">
        <v>521</v>
      </c>
      <c r="AH264" t="s">
        <v>506</v>
      </c>
      <c r="AI264" t="s">
        <v>542</v>
      </c>
      <c r="AJ264" t="s">
        <v>543</v>
      </c>
    </row>
    <row r="265" spans="1:36" x14ac:dyDescent="0.3">
      <c r="A265" t="s">
        <v>809</v>
      </c>
      <c r="B265" t="s">
        <v>391</v>
      </c>
      <c r="C265" t="s">
        <v>490</v>
      </c>
      <c r="D265" s="9" t="s">
        <v>553</v>
      </c>
      <c r="E265" t="s">
        <v>50</v>
      </c>
      <c r="F265" t="s">
        <v>142</v>
      </c>
      <c r="G265" s="4">
        <v>7.32</v>
      </c>
      <c r="H265" s="4">
        <v>898.3</v>
      </c>
      <c r="I265" s="4">
        <v>630.5</v>
      </c>
      <c r="J265" s="4">
        <v>29.4</v>
      </c>
      <c r="K265" s="4">
        <v>48.16</v>
      </c>
      <c r="L265" s="4">
        <v>19.09</v>
      </c>
      <c r="M265" s="4">
        <v>75.59</v>
      </c>
      <c r="N265" s="4">
        <v>6.18</v>
      </c>
      <c r="O265" s="4">
        <v>190.28</v>
      </c>
      <c r="P265" s="4">
        <v>89.58</v>
      </c>
      <c r="Q265" s="4">
        <v>54.07</v>
      </c>
      <c r="R265" s="4">
        <v>83.38</v>
      </c>
      <c r="S265" s="4">
        <v>1.23</v>
      </c>
      <c r="T265" s="4">
        <v>-3.71</v>
      </c>
      <c r="U265" s="4">
        <v>-22.44</v>
      </c>
      <c r="V265" s="4">
        <v>0.16900000000000001</v>
      </c>
      <c r="W265" s="4">
        <v>45.4</v>
      </c>
      <c r="X265" s="4">
        <v>0.36</v>
      </c>
      <c r="Y265" s="4">
        <v>-0.25</v>
      </c>
      <c r="Z265" s="4">
        <v>-1.17</v>
      </c>
      <c r="AA265" s="4">
        <v>-4.8899999999999997</v>
      </c>
      <c r="AB265" s="4">
        <f t="shared" si="20"/>
        <v>7.4203423870085148</v>
      </c>
      <c r="AC265" s="4">
        <f t="shared" si="21"/>
        <v>8.1804826384066107</v>
      </c>
      <c r="AD265" s="4">
        <f t="shared" si="22"/>
        <v>-4.8724362343642724</v>
      </c>
      <c r="AE265" s="4">
        <f t="shared" si="23"/>
        <v>2.3325732583530558</v>
      </c>
      <c r="AF265">
        <f t="shared" si="24"/>
        <v>46.442043740779901</v>
      </c>
      <c r="AG265" t="s">
        <v>637</v>
      </c>
      <c r="AH265" t="s">
        <v>506</v>
      </c>
      <c r="AI265" t="s">
        <v>487</v>
      </c>
      <c r="AJ265" t="s">
        <v>488</v>
      </c>
    </row>
    <row r="266" spans="1:36" x14ac:dyDescent="0.3">
      <c r="A266" t="s">
        <v>810</v>
      </c>
      <c r="B266" t="s">
        <v>393</v>
      </c>
      <c r="C266" t="s">
        <v>484</v>
      </c>
      <c r="D266" s="9" t="s">
        <v>551</v>
      </c>
      <c r="E266" t="s">
        <v>50</v>
      </c>
      <c r="F266" t="s">
        <v>142</v>
      </c>
      <c r="G266" s="4">
        <v>7.41</v>
      </c>
      <c r="H266" s="4">
        <v>634.29999999999995</v>
      </c>
      <c r="I266" s="4">
        <v>368.1</v>
      </c>
      <c r="J266" s="4">
        <v>28.9</v>
      </c>
      <c r="K266" s="4">
        <v>28.62</v>
      </c>
      <c r="L266" s="4">
        <v>14.92</v>
      </c>
      <c r="M266" s="4">
        <v>37.340000000000003</v>
      </c>
      <c r="N266" s="4">
        <v>4.25</v>
      </c>
      <c r="O266" s="4">
        <v>127.85</v>
      </c>
      <c r="P266" s="4">
        <v>36.24</v>
      </c>
      <c r="Q266" s="4">
        <v>40.33</v>
      </c>
      <c r="R266" s="4">
        <v>16.73</v>
      </c>
      <c r="S266" s="4">
        <v>0.47</v>
      </c>
      <c r="T266" s="4">
        <v>-4.26</v>
      </c>
      <c r="U266" s="4">
        <v>-21.3</v>
      </c>
      <c r="V266" s="4">
        <v>0.21199999999999999</v>
      </c>
      <c r="W266" s="4">
        <v>48.7</v>
      </c>
      <c r="X266" s="4">
        <v>-0.61</v>
      </c>
      <c r="Y266" s="4">
        <v>-0.85</v>
      </c>
      <c r="Z266" s="4">
        <v>-1.23</v>
      </c>
      <c r="AA266" s="4">
        <v>-5.19</v>
      </c>
      <c r="AB266" s="4">
        <f t="shared" si="20"/>
        <v>4.3889021912053794</v>
      </c>
      <c r="AC266" s="4">
        <f t="shared" si="21"/>
        <v>4.2517908051137123</v>
      </c>
      <c r="AD266" s="4">
        <f t="shared" si="22"/>
        <v>1.5868100643093797</v>
      </c>
      <c r="AE266" s="4">
        <f t="shared" si="23"/>
        <v>1.4094822754848548</v>
      </c>
      <c r="AF266">
        <f t="shared" si="24"/>
        <v>39.484960369510887</v>
      </c>
      <c r="AG266" t="s">
        <v>492</v>
      </c>
      <c r="AH266" t="s">
        <v>500</v>
      </c>
      <c r="AI266" t="s">
        <v>487</v>
      </c>
      <c r="AJ266" t="s">
        <v>488</v>
      </c>
    </row>
    <row r="267" spans="1:36" x14ac:dyDescent="0.3">
      <c r="A267" t="s">
        <v>811</v>
      </c>
      <c r="B267" t="s">
        <v>393</v>
      </c>
      <c r="C267" t="s">
        <v>490</v>
      </c>
      <c r="D267" s="9" t="s">
        <v>496</v>
      </c>
      <c r="E267" t="s">
        <v>50</v>
      </c>
      <c r="F267" t="s">
        <v>142</v>
      </c>
      <c r="G267" s="4">
        <v>7.07</v>
      </c>
      <c r="H267" s="4">
        <v>882.9</v>
      </c>
      <c r="I267" s="4">
        <v>486.8</v>
      </c>
      <c r="J267" s="4">
        <v>30.3</v>
      </c>
      <c r="K267" s="4">
        <v>40.29</v>
      </c>
      <c r="L267" s="4">
        <v>22.15</v>
      </c>
      <c r="M267" s="4">
        <v>53.96</v>
      </c>
      <c r="N267" s="4">
        <v>6.04</v>
      </c>
      <c r="O267" s="4">
        <v>164.11</v>
      </c>
      <c r="P267" s="4">
        <v>69.900000000000006</v>
      </c>
      <c r="Q267" s="4">
        <v>54.6</v>
      </c>
      <c r="R267" s="4">
        <v>22.28</v>
      </c>
      <c r="S267" s="4">
        <v>0.48</v>
      </c>
      <c r="T267" s="4">
        <v>-3.28</v>
      </c>
      <c r="U267" s="4">
        <v>-24.35</v>
      </c>
      <c r="V267" s="4">
        <v>0.16400000000000001</v>
      </c>
      <c r="W267" s="4">
        <v>43.6</v>
      </c>
      <c r="X267" s="4">
        <v>-0.13</v>
      </c>
      <c r="Y267" s="4">
        <v>-0.32</v>
      </c>
      <c r="Z267" s="4">
        <v>-0.78</v>
      </c>
      <c r="AA267" s="4">
        <v>-4.41</v>
      </c>
      <c r="AB267" s="4">
        <f t="shared" si="20"/>
        <v>6.334942742985012</v>
      </c>
      <c r="AC267" s="4">
        <f t="shared" si="21"/>
        <v>6.18262856260941</v>
      </c>
      <c r="AD267" s="4">
        <f t="shared" si="22"/>
        <v>1.216802977647341</v>
      </c>
      <c r="AE267" s="4">
        <f t="shared" si="23"/>
        <v>1.6954434501457414</v>
      </c>
      <c r="AF267">
        <f t="shared" si="24"/>
        <v>39.490382814663114</v>
      </c>
      <c r="AG267" t="s">
        <v>492</v>
      </c>
      <c r="AH267" t="s">
        <v>48</v>
      </c>
      <c r="AI267" t="s">
        <v>487</v>
      </c>
      <c r="AJ267" t="s">
        <v>488</v>
      </c>
    </row>
    <row r="268" spans="1:36" x14ac:dyDescent="0.3">
      <c r="A268" t="s">
        <v>812</v>
      </c>
      <c r="B268" t="s">
        <v>396</v>
      </c>
      <c r="C268" t="s">
        <v>484</v>
      </c>
      <c r="D268" s="9" t="s">
        <v>494</v>
      </c>
      <c r="E268" t="s">
        <v>50</v>
      </c>
      <c r="F268" t="s">
        <v>75</v>
      </c>
      <c r="G268" s="4">
        <v>7.16</v>
      </c>
      <c r="H268" s="4">
        <v>565.5</v>
      </c>
      <c r="I268" s="4">
        <v>364.4</v>
      </c>
      <c r="J268" s="4">
        <v>28.3</v>
      </c>
      <c r="K268" s="4">
        <v>36.28</v>
      </c>
      <c r="L268" s="4">
        <v>13.1</v>
      </c>
      <c r="M268" s="4">
        <v>36.64</v>
      </c>
      <c r="N268" s="4">
        <v>3.98</v>
      </c>
      <c r="O268" s="4">
        <v>133.94999999999999</v>
      </c>
      <c r="P268" s="4">
        <v>38.090000000000003</v>
      </c>
      <c r="Q268" s="4">
        <v>42.44</v>
      </c>
      <c r="R268" s="4">
        <v>17.73</v>
      </c>
      <c r="S268" s="4">
        <v>0.23</v>
      </c>
      <c r="T268" s="4">
        <v>-4</v>
      </c>
      <c r="U268" s="4">
        <v>-27.73</v>
      </c>
      <c r="V268" s="4">
        <v>0.30499999999999999</v>
      </c>
      <c r="W268" s="4">
        <v>38.700000000000003</v>
      </c>
      <c r="X268" s="4">
        <v>-0.88</v>
      </c>
      <c r="Y268" s="4">
        <v>-1.39</v>
      </c>
      <c r="Z268" s="4">
        <v>-1.1100000000000001</v>
      </c>
      <c r="AA268" s="4">
        <v>-5.16</v>
      </c>
      <c r="AB268" s="4">
        <f t="shared" si="20"/>
        <v>4.5840383021475173</v>
      </c>
      <c r="AC268" s="4">
        <f t="shared" si="21"/>
        <v>4.4513720697059096</v>
      </c>
      <c r="AD268" s="4">
        <f t="shared" si="22"/>
        <v>1.4682922743042379</v>
      </c>
      <c r="AE268" s="4">
        <f t="shared" si="23"/>
        <v>1.3262302414434783</v>
      </c>
      <c r="AF268">
        <f t="shared" si="24"/>
        <v>36.989246373501175</v>
      </c>
      <c r="AG268" t="s">
        <v>497</v>
      </c>
      <c r="AH268" t="s">
        <v>48</v>
      </c>
      <c r="AI268" t="s">
        <v>487</v>
      </c>
      <c r="AJ268" t="s">
        <v>488</v>
      </c>
    </row>
    <row r="269" spans="1:36" x14ac:dyDescent="0.3">
      <c r="A269" t="s">
        <v>813</v>
      </c>
      <c r="B269" t="s">
        <v>396</v>
      </c>
      <c r="C269" t="s">
        <v>490</v>
      </c>
      <c r="D269" s="9" t="s">
        <v>546</v>
      </c>
      <c r="E269" t="s">
        <v>50</v>
      </c>
      <c r="F269" t="s">
        <v>75</v>
      </c>
      <c r="G269" s="4">
        <v>6.8</v>
      </c>
      <c r="H269" s="4">
        <v>898.4</v>
      </c>
      <c r="I269" s="4">
        <v>569.4</v>
      </c>
      <c r="J269" s="4">
        <v>29.6</v>
      </c>
      <c r="K269" s="4">
        <v>49.42</v>
      </c>
      <c r="L269" s="4">
        <v>20.97</v>
      </c>
      <c r="M269" s="4">
        <v>58.27</v>
      </c>
      <c r="N269" s="4">
        <v>6.02</v>
      </c>
      <c r="O269" s="4">
        <v>223.76</v>
      </c>
      <c r="P269" s="4">
        <v>83.96</v>
      </c>
      <c r="Q269" s="4">
        <v>62.02</v>
      </c>
      <c r="R269" s="4">
        <v>9.43</v>
      </c>
      <c r="S269" s="4">
        <v>0.46</v>
      </c>
      <c r="T269" s="4">
        <v>-3.11</v>
      </c>
      <c r="U269" s="4">
        <v>-21.62</v>
      </c>
      <c r="V269" s="4">
        <v>0.215</v>
      </c>
      <c r="W269" s="4">
        <v>45.4</v>
      </c>
      <c r="X269" s="4">
        <v>0.18</v>
      </c>
      <c r="Y269" s="4">
        <v>-0.48</v>
      </c>
      <c r="Z269" s="4">
        <v>-0.92</v>
      </c>
      <c r="AA269" s="4">
        <v>-5.0199999999999996</v>
      </c>
      <c r="AB269" s="4">
        <f t="shared" si="20"/>
        <v>6.8804243722190996</v>
      </c>
      <c r="AC269" s="4">
        <f t="shared" si="21"/>
        <v>7.5030147325459939</v>
      </c>
      <c r="AD269" s="4">
        <f t="shared" si="22"/>
        <v>-4.3285222386114608</v>
      </c>
      <c r="AE269" s="4">
        <f t="shared" si="23"/>
        <v>1.7508205602097848</v>
      </c>
      <c r="AF269">
        <f t="shared" si="24"/>
        <v>39.076987535721159</v>
      </c>
      <c r="AG269" t="s">
        <v>492</v>
      </c>
      <c r="AH269" t="s">
        <v>48</v>
      </c>
      <c r="AI269" t="s">
        <v>487</v>
      </c>
      <c r="AJ269" t="s">
        <v>488</v>
      </c>
    </row>
    <row r="270" spans="1:36" x14ac:dyDescent="0.3">
      <c r="A270" t="s">
        <v>814</v>
      </c>
      <c r="B270" t="s">
        <v>399</v>
      </c>
      <c r="C270" t="s">
        <v>484</v>
      </c>
      <c r="D270" s="9" t="s">
        <v>551</v>
      </c>
      <c r="E270" t="s">
        <v>50</v>
      </c>
      <c r="F270" t="s">
        <v>277</v>
      </c>
      <c r="G270" s="4">
        <v>6.95</v>
      </c>
      <c r="H270" s="4">
        <v>686.1</v>
      </c>
      <c r="I270" s="4">
        <v>389.7</v>
      </c>
      <c r="J270" s="4">
        <v>28.3</v>
      </c>
      <c r="K270" s="4">
        <v>29.29</v>
      </c>
      <c r="L270" s="4">
        <v>14.88</v>
      </c>
      <c r="M270" s="4">
        <v>29.2</v>
      </c>
      <c r="N270" s="4">
        <v>5.26</v>
      </c>
      <c r="O270" s="4">
        <v>125.87</v>
      </c>
      <c r="P270" s="4">
        <v>35.44</v>
      </c>
      <c r="Q270" s="4">
        <v>21.76</v>
      </c>
      <c r="R270" s="4">
        <v>56.74</v>
      </c>
      <c r="S270" s="4">
        <v>0.76</v>
      </c>
      <c r="T270" s="4">
        <v>-3.97</v>
      </c>
      <c r="U270" s="4">
        <v>-24.33</v>
      </c>
      <c r="V270" s="4">
        <v>0.14799999999999999</v>
      </c>
      <c r="W270" s="4">
        <v>72.2</v>
      </c>
      <c r="X270" s="4">
        <v>-0.33</v>
      </c>
      <c r="Y270" s="4">
        <v>-0.61</v>
      </c>
      <c r="Z270" s="4">
        <v>-1.31</v>
      </c>
      <c r="AA270" s="4">
        <v>-5.34</v>
      </c>
      <c r="AB270" s="4">
        <f t="shared" si="20"/>
        <v>4.09079562570947</v>
      </c>
      <c r="AC270" s="4">
        <f t="shared" si="21"/>
        <v>4.4706782080909431</v>
      </c>
      <c r="AD270" s="4">
        <f t="shared" si="22"/>
        <v>-4.4371166665453012</v>
      </c>
      <c r="AE270" s="4">
        <f t="shared" si="23"/>
        <v>1.0960176646221758</v>
      </c>
      <c r="AF270">
        <f t="shared" si="24"/>
        <v>34.338220618989652</v>
      </c>
      <c r="AG270" t="s">
        <v>497</v>
      </c>
      <c r="AH270" t="s">
        <v>506</v>
      </c>
      <c r="AI270" t="s">
        <v>487</v>
      </c>
      <c r="AJ270" t="s">
        <v>488</v>
      </c>
    </row>
    <row r="271" spans="1:36" x14ac:dyDescent="0.3">
      <c r="A271" t="s">
        <v>815</v>
      </c>
      <c r="B271" t="s">
        <v>399</v>
      </c>
      <c r="C271" t="s">
        <v>490</v>
      </c>
      <c r="D271" s="9" t="s">
        <v>532</v>
      </c>
      <c r="E271" t="s">
        <v>50</v>
      </c>
      <c r="F271" t="s">
        <v>277</v>
      </c>
      <c r="G271" s="4">
        <v>7.14</v>
      </c>
      <c r="H271" s="4">
        <v>739.3</v>
      </c>
      <c r="I271" s="4">
        <v>507</v>
      </c>
      <c r="J271" s="4">
        <v>29.6</v>
      </c>
      <c r="K271" s="4">
        <v>47.21</v>
      </c>
      <c r="L271" s="4">
        <v>19.45</v>
      </c>
      <c r="M271" s="4">
        <v>42.9</v>
      </c>
      <c r="N271" s="4">
        <v>7.31</v>
      </c>
      <c r="O271" s="4">
        <v>168.25</v>
      </c>
      <c r="P271" s="4">
        <v>57.63</v>
      </c>
      <c r="Q271" s="4">
        <v>49.51</v>
      </c>
      <c r="R271" s="4">
        <v>42.46</v>
      </c>
      <c r="S271" s="4">
        <v>0.56999999999999995</v>
      </c>
      <c r="T271" s="4">
        <v>-3.33</v>
      </c>
      <c r="U271" s="4">
        <v>-23.03</v>
      </c>
      <c r="V271" s="4">
        <v>0.12</v>
      </c>
      <c r="W271" s="4">
        <v>55.5</v>
      </c>
      <c r="X271" s="4">
        <v>0.03</v>
      </c>
      <c r="Y271" s="4">
        <v>-0.66</v>
      </c>
      <c r="Z271" s="4">
        <v>-0.71</v>
      </c>
      <c r="AA271" s="4">
        <v>-5.03</v>
      </c>
      <c r="AB271" s="4">
        <f t="shared" si="20"/>
        <v>6.0094756727627319</v>
      </c>
      <c r="AC271" s="4">
        <f t="shared" si="21"/>
        <v>6.1286076669577714</v>
      </c>
      <c r="AD271" s="4">
        <f t="shared" si="22"/>
        <v>-0.98147286404924861</v>
      </c>
      <c r="AE271" s="4">
        <f t="shared" si="23"/>
        <v>1.3267898152743138</v>
      </c>
      <c r="AF271">
        <f t="shared" si="24"/>
        <v>34.163978284573048</v>
      </c>
      <c r="AG271" t="s">
        <v>497</v>
      </c>
      <c r="AH271" t="s">
        <v>48</v>
      </c>
      <c r="AI271" t="s">
        <v>487</v>
      </c>
      <c r="AJ271" t="s">
        <v>488</v>
      </c>
    </row>
    <row r="272" spans="1:36" x14ac:dyDescent="0.3">
      <c r="A272" t="s">
        <v>816</v>
      </c>
      <c r="B272" t="s">
        <v>401</v>
      </c>
      <c r="C272" t="s">
        <v>484</v>
      </c>
      <c r="D272" s="9" t="s">
        <v>539</v>
      </c>
      <c r="E272" t="s">
        <v>50</v>
      </c>
      <c r="F272" t="s">
        <v>101</v>
      </c>
      <c r="G272" s="4">
        <v>7.02</v>
      </c>
      <c r="H272" s="4">
        <v>571.29999999999995</v>
      </c>
      <c r="I272" s="4">
        <v>376</v>
      </c>
      <c r="J272" s="4">
        <v>29.7</v>
      </c>
      <c r="K272" s="4">
        <v>36.15</v>
      </c>
      <c r="L272" s="4">
        <v>8.81</v>
      </c>
      <c r="M272" s="4">
        <v>37.090000000000003</v>
      </c>
      <c r="N272" s="4">
        <v>3.95</v>
      </c>
      <c r="O272" s="4">
        <v>114.7</v>
      </c>
      <c r="P272" s="4">
        <v>53.15</v>
      </c>
      <c r="Q272" s="4">
        <v>24.79</v>
      </c>
      <c r="R272" s="4">
        <v>10.71</v>
      </c>
      <c r="S272" s="4">
        <v>0.28000000000000003</v>
      </c>
      <c r="T272" s="4">
        <v>-3.81</v>
      </c>
      <c r="U272" s="4">
        <v>-20.72</v>
      </c>
      <c r="V272" s="4">
        <v>0.23400000000000001</v>
      </c>
      <c r="W272" s="4">
        <v>74.2</v>
      </c>
      <c r="X272" s="4">
        <v>-0.21</v>
      </c>
      <c r="Y272" s="4">
        <v>-0.27</v>
      </c>
      <c r="Z272" s="4">
        <v>-1.56</v>
      </c>
      <c r="AA272" s="4">
        <v>-5.44</v>
      </c>
      <c r="AB272" s="4">
        <f t="shared" si="20"/>
        <v>4.243344445778404</v>
      </c>
      <c r="AC272" s="4">
        <f t="shared" si="21"/>
        <v>4.0826051362608071</v>
      </c>
      <c r="AD272" s="4">
        <f t="shared" si="22"/>
        <v>1.9305823069640569</v>
      </c>
      <c r="AE272" s="4">
        <f t="shared" si="23"/>
        <v>1.4347718126187534</v>
      </c>
      <c r="AF272">
        <f t="shared" si="24"/>
        <v>40.402293988032177</v>
      </c>
      <c r="AG272" t="s">
        <v>497</v>
      </c>
      <c r="AH272" t="s">
        <v>48</v>
      </c>
      <c r="AI272" t="s">
        <v>487</v>
      </c>
      <c r="AJ272" t="s">
        <v>488</v>
      </c>
    </row>
    <row r="273" spans="1:36" x14ac:dyDescent="0.3">
      <c r="A273" t="s">
        <v>817</v>
      </c>
      <c r="B273" t="s">
        <v>401</v>
      </c>
      <c r="C273" t="s">
        <v>490</v>
      </c>
      <c r="D273" s="9" t="s">
        <v>541</v>
      </c>
      <c r="E273" t="s">
        <v>50</v>
      </c>
      <c r="F273" t="s">
        <v>101</v>
      </c>
      <c r="G273" s="4">
        <v>6.86</v>
      </c>
      <c r="H273" s="4">
        <v>754.4</v>
      </c>
      <c r="I273" s="4">
        <v>472.6</v>
      </c>
      <c r="J273" s="4">
        <v>30.9</v>
      </c>
      <c r="K273" s="4">
        <v>44.43</v>
      </c>
      <c r="L273" s="4">
        <v>18.7</v>
      </c>
      <c r="M273" s="4">
        <v>45.04</v>
      </c>
      <c r="N273" s="4">
        <v>8.52</v>
      </c>
      <c r="O273" s="4">
        <v>159.43</v>
      </c>
      <c r="P273" s="4">
        <v>73.8</v>
      </c>
      <c r="Q273" s="4">
        <v>46.59</v>
      </c>
      <c r="R273" s="4">
        <v>11.54</v>
      </c>
      <c r="S273" s="4">
        <v>0.57999999999999996</v>
      </c>
      <c r="T273" s="4">
        <v>-2.91</v>
      </c>
      <c r="U273" s="4">
        <v>-19.21</v>
      </c>
      <c r="V273" s="4">
        <v>0.13400000000000001</v>
      </c>
      <c r="W273" s="4">
        <v>57.9</v>
      </c>
      <c r="X273" s="4">
        <v>-0.56999999999999995</v>
      </c>
      <c r="Y273" s="4">
        <v>-0.63</v>
      </c>
      <c r="Z273" s="4">
        <v>-1.28</v>
      </c>
      <c r="AA273" s="4">
        <v>-5.07</v>
      </c>
      <c r="AB273" s="4">
        <f t="shared" si="20"/>
        <v>5.9330663720647392</v>
      </c>
      <c r="AC273" s="4">
        <f t="shared" si="21"/>
        <v>5.881212991153526</v>
      </c>
      <c r="AD273" s="4">
        <f t="shared" si="22"/>
        <v>0.43890430653476659</v>
      </c>
      <c r="AE273" s="4">
        <f t="shared" si="23"/>
        <v>1.4296612171664154</v>
      </c>
      <c r="AF273">
        <f t="shared" si="24"/>
        <v>36.694547144958577</v>
      </c>
      <c r="AG273" t="s">
        <v>497</v>
      </c>
      <c r="AH273" t="s">
        <v>48</v>
      </c>
      <c r="AI273" t="s">
        <v>487</v>
      </c>
      <c r="AJ273" t="s">
        <v>488</v>
      </c>
    </row>
    <row r="274" spans="1:36" x14ac:dyDescent="0.3">
      <c r="A274" t="s">
        <v>818</v>
      </c>
      <c r="B274" t="s">
        <v>403</v>
      </c>
      <c r="C274" t="s">
        <v>484</v>
      </c>
      <c r="D274" s="9" t="s">
        <v>524</v>
      </c>
      <c r="E274" t="s">
        <v>50</v>
      </c>
      <c r="F274" t="s">
        <v>75</v>
      </c>
      <c r="G274" s="4">
        <v>6.66</v>
      </c>
      <c r="H274" s="4">
        <v>570.79999999999995</v>
      </c>
      <c r="I274" s="4">
        <v>362.6</v>
      </c>
      <c r="J274" s="4">
        <v>29.1</v>
      </c>
      <c r="K274" s="4">
        <v>27.53</v>
      </c>
      <c r="L274" s="4">
        <v>11.91</v>
      </c>
      <c r="M274" s="4">
        <v>35.15</v>
      </c>
      <c r="N274" s="4">
        <v>4.83</v>
      </c>
      <c r="O274" s="4">
        <v>130.81</v>
      </c>
      <c r="P274" s="4">
        <v>33.47</v>
      </c>
      <c r="Q274" s="4">
        <v>32.58</v>
      </c>
      <c r="R274" s="4">
        <v>14.38</v>
      </c>
      <c r="S274" s="4">
        <v>0.22</v>
      </c>
      <c r="T274" s="4">
        <v>-3.27</v>
      </c>
      <c r="U274" s="4">
        <v>-24.77</v>
      </c>
      <c r="V274" s="4">
        <v>0.26</v>
      </c>
      <c r="W274" s="4">
        <v>61.2</v>
      </c>
      <c r="X274" s="4">
        <v>-0.36</v>
      </c>
      <c r="Y274" s="4">
        <v>-0.55000000000000004</v>
      </c>
      <c r="Z274" s="4">
        <v>-1.41</v>
      </c>
      <c r="AA274" s="4">
        <v>-4.92</v>
      </c>
      <c r="AB274" s="4">
        <f t="shared" si="20"/>
        <v>4.0063941645290591</v>
      </c>
      <c r="AC274" s="4">
        <f t="shared" si="21"/>
        <v>4.00975406469363</v>
      </c>
      <c r="AD274" s="4">
        <f t="shared" si="22"/>
        <v>-4.1914147150155651E-2</v>
      </c>
      <c r="AE274" s="4">
        <f t="shared" si="23"/>
        <v>1.4093840447136425</v>
      </c>
      <c r="AF274">
        <f t="shared" si="24"/>
        <v>41.247260991641383</v>
      </c>
      <c r="AG274" t="s">
        <v>492</v>
      </c>
      <c r="AH274" t="s">
        <v>500</v>
      </c>
      <c r="AI274" t="s">
        <v>487</v>
      </c>
      <c r="AJ274" t="s">
        <v>488</v>
      </c>
    </row>
    <row r="275" spans="1:36" x14ac:dyDescent="0.3">
      <c r="A275" t="s">
        <v>819</v>
      </c>
      <c r="B275" t="s">
        <v>403</v>
      </c>
      <c r="C275" t="s">
        <v>490</v>
      </c>
      <c r="D275" s="9" t="s">
        <v>546</v>
      </c>
      <c r="E275" t="s">
        <v>50</v>
      </c>
      <c r="F275" t="s">
        <v>75</v>
      </c>
      <c r="G275" s="4">
        <v>7.01</v>
      </c>
      <c r="H275" s="4">
        <v>751.7</v>
      </c>
      <c r="I275" s="4">
        <v>529.1</v>
      </c>
      <c r="J275" s="4">
        <v>30.4</v>
      </c>
      <c r="K275" s="4">
        <v>52.32</v>
      </c>
      <c r="L275" s="4">
        <v>20.49</v>
      </c>
      <c r="M275" s="4">
        <v>60.5</v>
      </c>
      <c r="N275" s="4">
        <v>5.07</v>
      </c>
      <c r="O275" s="4">
        <v>156.68</v>
      </c>
      <c r="P275" s="4">
        <v>84.42</v>
      </c>
      <c r="Q275" s="4">
        <v>68.66</v>
      </c>
      <c r="R275" s="4">
        <v>22.55</v>
      </c>
      <c r="S275" s="4">
        <v>0.52</v>
      </c>
      <c r="T275" s="4">
        <v>-3.41</v>
      </c>
      <c r="U275" s="4">
        <v>-24.56</v>
      </c>
      <c r="V275" s="4">
        <v>0.183</v>
      </c>
      <c r="W275" s="4">
        <v>59.1</v>
      </c>
      <c r="X275" s="4">
        <v>-0.47</v>
      </c>
      <c r="Y275" s="4">
        <v>-1.37</v>
      </c>
      <c r="Z275" s="4">
        <v>-0.93</v>
      </c>
      <c r="AA275" s="4">
        <v>-4.55</v>
      </c>
      <c r="AB275" s="4">
        <f t="shared" si="20"/>
        <v>7.0583491232241844</v>
      </c>
      <c r="AC275" s="4">
        <f t="shared" si="21"/>
        <v>6.7696072253884321</v>
      </c>
      <c r="AD275" s="4">
        <f t="shared" si="22"/>
        <v>2.0881024683356215</v>
      </c>
      <c r="AE275" s="4">
        <f t="shared" si="23"/>
        <v>1.795430289521766</v>
      </c>
      <c r="AF275">
        <f t="shared" si="24"/>
        <v>39.122003212284838</v>
      </c>
      <c r="AG275" t="s">
        <v>606</v>
      </c>
      <c r="AH275" t="s">
        <v>48</v>
      </c>
      <c r="AI275" t="s">
        <v>487</v>
      </c>
      <c r="AJ275" t="s">
        <v>488</v>
      </c>
    </row>
    <row r="276" spans="1:36" x14ac:dyDescent="0.3">
      <c r="A276" t="s">
        <v>820</v>
      </c>
      <c r="B276" t="s">
        <v>405</v>
      </c>
      <c r="C276" t="s">
        <v>484</v>
      </c>
      <c r="D276" s="9" t="s">
        <v>666</v>
      </c>
      <c r="E276" t="s">
        <v>50</v>
      </c>
      <c r="F276" t="s">
        <v>142</v>
      </c>
      <c r="G276" s="4">
        <v>6.76</v>
      </c>
      <c r="H276" s="4">
        <v>674.2</v>
      </c>
      <c r="I276" s="4">
        <v>376.1</v>
      </c>
      <c r="J276" s="4">
        <v>28.3</v>
      </c>
      <c r="K276" s="4">
        <v>33.71</v>
      </c>
      <c r="L276" s="4">
        <v>13.18</v>
      </c>
      <c r="M276" s="4">
        <v>42.66</v>
      </c>
      <c r="N276" s="4">
        <v>4.25</v>
      </c>
      <c r="O276" s="4">
        <v>148.47</v>
      </c>
      <c r="P276" s="4">
        <v>58.78</v>
      </c>
      <c r="Q276" s="4">
        <v>30.79</v>
      </c>
      <c r="R276" s="4">
        <v>0.67</v>
      </c>
      <c r="S276" s="4">
        <v>0.33</v>
      </c>
      <c r="T276" s="4">
        <v>-3.49</v>
      </c>
      <c r="U276" s="4">
        <v>-25.16</v>
      </c>
      <c r="V276" s="4">
        <v>0.184</v>
      </c>
      <c r="W276" s="4">
        <v>34.799999999999997</v>
      </c>
      <c r="X276" s="4">
        <v>-0.09</v>
      </c>
      <c r="Y276" s="4">
        <v>-0.47</v>
      </c>
      <c r="Z276" s="4">
        <v>-1.38</v>
      </c>
      <c r="AA276" s="4">
        <v>-4.68</v>
      </c>
      <c r="AB276" s="4">
        <f t="shared" si="20"/>
        <v>4.7311414910828313</v>
      </c>
      <c r="AC276" s="4">
        <f t="shared" si="21"/>
        <v>4.7604994103893565</v>
      </c>
      <c r="AD276" s="4">
        <f t="shared" si="22"/>
        <v>-0.30930288673238454</v>
      </c>
      <c r="AE276" s="4">
        <f t="shared" si="23"/>
        <v>1.5777174387696644</v>
      </c>
      <c r="AF276">
        <f t="shared" si="24"/>
        <v>41.52002892184521</v>
      </c>
      <c r="AG276" t="s">
        <v>492</v>
      </c>
      <c r="AH276" t="s">
        <v>48</v>
      </c>
      <c r="AI276" t="s">
        <v>487</v>
      </c>
      <c r="AJ276" t="s">
        <v>488</v>
      </c>
    </row>
    <row r="277" spans="1:36" x14ac:dyDescent="0.3">
      <c r="A277" t="s">
        <v>821</v>
      </c>
      <c r="B277" t="s">
        <v>405</v>
      </c>
      <c r="C277" t="s">
        <v>490</v>
      </c>
      <c r="D277" s="9" t="s">
        <v>532</v>
      </c>
      <c r="E277" t="s">
        <v>50</v>
      </c>
      <c r="F277" t="s">
        <v>142</v>
      </c>
      <c r="G277" s="4">
        <v>6.62</v>
      </c>
      <c r="H277" s="4">
        <v>956.6</v>
      </c>
      <c r="I277" s="4">
        <v>544.29999999999995</v>
      </c>
      <c r="J277" s="4">
        <v>29.3</v>
      </c>
      <c r="K277" s="4">
        <v>61.44</v>
      </c>
      <c r="L277" s="4">
        <v>21.12</v>
      </c>
      <c r="M277" s="4">
        <v>51.35</v>
      </c>
      <c r="N277" s="4">
        <v>6.78</v>
      </c>
      <c r="O277" s="4">
        <v>197.67</v>
      </c>
      <c r="P277" s="4">
        <v>94.95</v>
      </c>
      <c r="Q277" s="4">
        <v>51.25</v>
      </c>
      <c r="R277" s="4">
        <v>7.14</v>
      </c>
      <c r="S277" s="4">
        <v>0.94</v>
      </c>
      <c r="T277" s="4">
        <v>-3.58</v>
      </c>
      <c r="U277" s="4">
        <v>-22.44</v>
      </c>
      <c r="V277" s="4">
        <v>0.20799999999999999</v>
      </c>
      <c r="W277" s="4">
        <v>36.299999999999997</v>
      </c>
      <c r="X277" s="4">
        <v>-0.12</v>
      </c>
      <c r="Y277" s="4">
        <v>-0.43</v>
      </c>
      <c r="Z277" s="4">
        <v>-0.66</v>
      </c>
      <c r="AA277" s="4">
        <v>-4.3</v>
      </c>
      <c r="AB277" s="4">
        <f t="shared" si="20"/>
        <v>7.2110226485782034</v>
      </c>
      <c r="AC277" s="4">
        <f t="shared" si="21"/>
        <v>7.1495082404888626</v>
      </c>
      <c r="AD277" s="4">
        <f t="shared" si="22"/>
        <v>0.42835747901334814</v>
      </c>
      <c r="AE277" s="4">
        <f t="shared" si="23"/>
        <v>1.4412416099819347</v>
      </c>
      <c r="AF277">
        <f t="shared" si="24"/>
        <v>33.380665931536079</v>
      </c>
      <c r="AG277" t="s">
        <v>673</v>
      </c>
      <c r="AH277" t="s">
        <v>48</v>
      </c>
      <c r="AI277" t="s">
        <v>487</v>
      </c>
      <c r="AJ277" t="s">
        <v>488</v>
      </c>
    </row>
    <row r="278" spans="1:36" x14ac:dyDescent="0.3">
      <c r="A278" t="s">
        <v>822</v>
      </c>
      <c r="B278" t="s">
        <v>408</v>
      </c>
      <c r="C278" t="s">
        <v>484</v>
      </c>
      <c r="D278" s="9" t="s">
        <v>649</v>
      </c>
      <c r="E278" t="s">
        <v>50</v>
      </c>
      <c r="F278" t="s">
        <v>277</v>
      </c>
      <c r="G278" s="4">
        <v>6.79</v>
      </c>
      <c r="H278" s="4">
        <v>532.1</v>
      </c>
      <c r="I278" s="4">
        <v>308.39999999999998</v>
      </c>
      <c r="J278" s="4">
        <v>27.2</v>
      </c>
      <c r="K278" s="4">
        <v>25.59</v>
      </c>
      <c r="L278" s="4">
        <v>8.43</v>
      </c>
      <c r="M278" s="4">
        <v>25.83</v>
      </c>
      <c r="N278" s="4">
        <v>4.68</v>
      </c>
      <c r="O278" s="4">
        <v>81.59</v>
      </c>
      <c r="P278" s="4">
        <v>31.89</v>
      </c>
      <c r="Q278" s="4">
        <v>25.65</v>
      </c>
      <c r="R278" s="4">
        <v>33.36</v>
      </c>
      <c r="S278" s="4">
        <v>0.36</v>
      </c>
      <c r="T278" s="4">
        <v>-4.54</v>
      </c>
      <c r="U278" s="4">
        <v>-28.78</v>
      </c>
      <c r="V278" s="4">
        <v>0.19500000000000001</v>
      </c>
      <c r="W278" s="4">
        <v>56.5</v>
      </c>
      <c r="X278" s="4">
        <v>-0.18</v>
      </c>
      <c r="Y278" s="4">
        <v>-0.89</v>
      </c>
      <c r="Z278" s="4">
        <v>-1.54</v>
      </c>
      <c r="AA278" s="4">
        <v>-4.67</v>
      </c>
      <c r="AB278" s="4">
        <f t="shared" si="20"/>
        <v>3.2139743182656466</v>
      </c>
      <c r="AC278" s="4">
        <f t="shared" si="21"/>
        <v>3.3277035750116521</v>
      </c>
      <c r="AD278" s="4">
        <f t="shared" si="22"/>
        <v>-1.7385334252376128</v>
      </c>
      <c r="AE278" s="4">
        <f t="shared" si="23"/>
        <v>1.1319042697074828</v>
      </c>
      <c r="AF278">
        <f t="shared" si="24"/>
        <v>38.683571716716649</v>
      </c>
      <c r="AG278" t="s">
        <v>497</v>
      </c>
      <c r="AH278" t="s">
        <v>48</v>
      </c>
      <c r="AI278" t="s">
        <v>487</v>
      </c>
      <c r="AJ278" t="s">
        <v>488</v>
      </c>
    </row>
    <row r="279" spans="1:36" x14ac:dyDescent="0.3">
      <c r="A279" t="s">
        <v>823</v>
      </c>
      <c r="B279" t="s">
        <v>408</v>
      </c>
      <c r="C279" t="s">
        <v>490</v>
      </c>
      <c r="D279" s="9" t="s">
        <v>496</v>
      </c>
      <c r="E279" t="s">
        <v>50</v>
      </c>
      <c r="F279" t="s">
        <v>277</v>
      </c>
      <c r="G279" s="4">
        <v>7.05</v>
      </c>
      <c r="H279" s="4">
        <v>827.9</v>
      </c>
      <c r="I279" s="4">
        <v>530.4</v>
      </c>
      <c r="J279" s="4">
        <v>28.5</v>
      </c>
      <c r="K279" s="4">
        <v>49.73</v>
      </c>
      <c r="L279" s="4">
        <v>17.82</v>
      </c>
      <c r="M279" s="4">
        <v>40.74</v>
      </c>
      <c r="N279" s="4">
        <v>7.12</v>
      </c>
      <c r="O279" s="4">
        <v>187.21</v>
      </c>
      <c r="P279" s="4">
        <v>58.4</v>
      </c>
      <c r="Q279" s="4">
        <v>49.3</v>
      </c>
      <c r="R279" s="4">
        <v>53.72</v>
      </c>
      <c r="S279" s="4">
        <v>0.47</v>
      </c>
      <c r="T279" s="4">
        <v>-3.67</v>
      </c>
      <c r="U279" s="4">
        <v>-22.09</v>
      </c>
      <c r="V279" s="4">
        <v>0.214</v>
      </c>
      <c r="W279" s="4">
        <v>55.5</v>
      </c>
      <c r="X279" s="4">
        <v>-0.14000000000000001</v>
      </c>
      <c r="Y279" s="4">
        <v>-0.69</v>
      </c>
      <c r="Z279" s="4">
        <v>-0.64</v>
      </c>
      <c r="AA279" s="4">
        <v>-5.37</v>
      </c>
      <c r="AB279" s="4">
        <f t="shared" si="20"/>
        <v>5.9022841073450261</v>
      </c>
      <c r="AC279" s="4">
        <f t="shared" si="21"/>
        <v>6.6330273012146126</v>
      </c>
      <c r="AD279" s="4">
        <f t="shared" si="22"/>
        <v>-5.8294777852156443</v>
      </c>
      <c r="AE279" s="4">
        <f t="shared" si="23"/>
        <v>1.2613219579574917</v>
      </c>
      <c r="AF279">
        <f t="shared" si="24"/>
        <v>33.110205554381224</v>
      </c>
      <c r="AG279" t="s">
        <v>486</v>
      </c>
      <c r="AH279" t="s">
        <v>506</v>
      </c>
      <c r="AI279" t="s">
        <v>542</v>
      </c>
      <c r="AJ279" t="s">
        <v>543</v>
      </c>
    </row>
    <row r="280" spans="1:36" x14ac:dyDescent="0.3">
      <c r="A280" t="s">
        <v>824</v>
      </c>
      <c r="B280" t="s">
        <v>410</v>
      </c>
      <c r="C280" t="s">
        <v>484</v>
      </c>
      <c r="D280" s="9" t="s">
        <v>570</v>
      </c>
      <c r="E280" t="s">
        <v>50</v>
      </c>
      <c r="F280" t="s">
        <v>101</v>
      </c>
      <c r="G280" s="4">
        <v>6.99</v>
      </c>
      <c r="H280" s="4">
        <v>556.6</v>
      </c>
      <c r="I280" s="4">
        <v>316</v>
      </c>
      <c r="J280" s="4">
        <v>28.9</v>
      </c>
      <c r="K280" s="4">
        <v>27.14</v>
      </c>
      <c r="L280" s="4">
        <v>12.05</v>
      </c>
      <c r="M280" s="4">
        <v>27.49</v>
      </c>
      <c r="N280" s="4">
        <v>4.75</v>
      </c>
      <c r="O280" s="4">
        <v>92.49</v>
      </c>
      <c r="P280" s="4">
        <v>45.38</v>
      </c>
      <c r="Q280" s="4">
        <v>27.42</v>
      </c>
      <c r="R280" s="4">
        <v>16.04</v>
      </c>
      <c r="S280" s="4">
        <v>0.41</v>
      </c>
      <c r="T280" s="4">
        <v>-4.1500000000000004</v>
      </c>
      <c r="U280" s="4">
        <v>-21.66</v>
      </c>
      <c r="V280" s="4">
        <v>0.192</v>
      </c>
      <c r="W280" s="4">
        <v>57.3</v>
      </c>
      <c r="X280" s="4">
        <v>-0.63</v>
      </c>
      <c r="Y280" s="4">
        <v>-0.62</v>
      </c>
      <c r="Z280" s="4">
        <v>-1.01</v>
      </c>
      <c r="AA280" s="4">
        <v>-5.26</v>
      </c>
      <c r="AB280" s="4">
        <f t="shared" si="20"/>
        <v>3.6632034022383562</v>
      </c>
      <c r="AC280" s="4">
        <f t="shared" si="21"/>
        <v>3.6470000694141107</v>
      </c>
      <c r="AD280" s="4">
        <f t="shared" si="22"/>
        <v>0.22165365009440308</v>
      </c>
      <c r="AE280" s="4">
        <f t="shared" si="23"/>
        <v>1.1041107541287007</v>
      </c>
      <c r="AF280">
        <f t="shared" si="24"/>
        <v>35.9597526030282</v>
      </c>
      <c r="AG280" t="s">
        <v>608</v>
      </c>
      <c r="AH280" t="s">
        <v>48</v>
      </c>
      <c r="AI280" t="s">
        <v>487</v>
      </c>
      <c r="AJ280" t="s">
        <v>488</v>
      </c>
    </row>
    <row r="281" spans="1:36" x14ac:dyDescent="0.3">
      <c r="A281" t="s">
        <v>825</v>
      </c>
      <c r="B281" t="s">
        <v>410</v>
      </c>
      <c r="C281" t="s">
        <v>490</v>
      </c>
      <c r="D281" s="9" t="s">
        <v>655</v>
      </c>
      <c r="E281" t="s">
        <v>50</v>
      </c>
      <c r="F281" t="s">
        <v>101</v>
      </c>
      <c r="G281" s="4">
        <v>6.69</v>
      </c>
      <c r="H281" s="4">
        <v>735.4</v>
      </c>
      <c r="I281" s="4">
        <v>519.70000000000005</v>
      </c>
      <c r="J281" s="4">
        <v>29.8</v>
      </c>
      <c r="K281" s="4">
        <v>45.21</v>
      </c>
      <c r="L281" s="4">
        <v>18.489999999999998</v>
      </c>
      <c r="M281" s="4">
        <v>50.93</v>
      </c>
      <c r="N281" s="4">
        <v>7.34</v>
      </c>
      <c r="O281" s="4">
        <v>164.74</v>
      </c>
      <c r="P281" s="4">
        <v>70.2</v>
      </c>
      <c r="Q281" s="4">
        <v>57.77</v>
      </c>
      <c r="R281" s="4">
        <v>37.08</v>
      </c>
      <c r="S281" s="4">
        <v>0.65</v>
      </c>
      <c r="T281" s="4">
        <v>-3.37</v>
      </c>
      <c r="U281" s="4">
        <v>-22.18</v>
      </c>
      <c r="V281" s="4">
        <v>0.17100000000000001</v>
      </c>
      <c r="W281" s="4">
        <v>53.9</v>
      </c>
      <c r="X281" s="4">
        <v>-0.27</v>
      </c>
      <c r="Y281" s="4">
        <v>-0.31</v>
      </c>
      <c r="Z281" s="4">
        <v>-0.99</v>
      </c>
      <c r="AA281" s="4">
        <v>-5.4</v>
      </c>
      <c r="AB281" s="4">
        <f t="shared" si="20"/>
        <v>6.1807389946928364</v>
      </c>
      <c r="AC281" s="4">
        <f t="shared" si="21"/>
        <v>6.5150551704372122</v>
      </c>
      <c r="AD281" s="4">
        <f t="shared" si="22"/>
        <v>-2.6332828919249516</v>
      </c>
      <c r="AE281" s="4">
        <f t="shared" si="23"/>
        <v>1.6119839380650414</v>
      </c>
      <c r="AF281">
        <f t="shared" si="24"/>
        <v>38.881123417477028</v>
      </c>
      <c r="AG281" t="s">
        <v>492</v>
      </c>
      <c r="AH281" t="s">
        <v>48</v>
      </c>
      <c r="AI281" t="s">
        <v>487</v>
      </c>
      <c r="AJ281" t="s">
        <v>488</v>
      </c>
    </row>
    <row r="282" spans="1:36" x14ac:dyDescent="0.3">
      <c r="A282" t="s">
        <v>826</v>
      </c>
      <c r="B282" t="s">
        <v>412</v>
      </c>
      <c r="C282" t="s">
        <v>484</v>
      </c>
      <c r="D282" s="9" t="s">
        <v>628</v>
      </c>
      <c r="E282" t="s">
        <v>50</v>
      </c>
      <c r="F282" t="s">
        <v>101</v>
      </c>
      <c r="G282" s="4">
        <v>6.97</v>
      </c>
      <c r="H282" s="4">
        <v>661.9</v>
      </c>
      <c r="I282" s="4">
        <v>396.7</v>
      </c>
      <c r="J282" s="4">
        <v>30</v>
      </c>
      <c r="K282" s="4">
        <v>38.520000000000003</v>
      </c>
      <c r="L282" s="4">
        <v>13.7</v>
      </c>
      <c r="M282" s="4">
        <v>40.729999999999997</v>
      </c>
      <c r="N282" s="4">
        <v>3.35</v>
      </c>
      <c r="O282" s="4">
        <v>127.76</v>
      </c>
      <c r="P282" s="4">
        <v>50.03</v>
      </c>
      <c r="Q282" s="4">
        <v>42.17</v>
      </c>
      <c r="R282" s="4">
        <v>24.09</v>
      </c>
      <c r="S282" s="4">
        <v>0.61</v>
      </c>
      <c r="T282" s="4">
        <v>-4.46</v>
      </c>
      <c r="U282" s="4">
        <v>-27.95</v>
      </c>
      <c r="V282" s="4">
        <v>0.152</v>
      </c>
      <c r="W282" s="4">
        <v>53.2</v>
      </c>
      <c r="X282" s="4">
        <v>0.35</v>
      </c>
      <c r="Y282" s="4">
        <v>7.0000000000000007E-2</v>
      </c>
      <c r="Z282" s="4">
        <v>-1.06</v>
      </c>
      <c r="AA282" s="4">
        <v>-5.15</v>
      </c>
      <c r="AB282" s="4">
        <f t="shared" si="20"/>
        <v>4.9069907030135242</v>
      </c>
      <c r="AC282" s="4">
        <f t="shared" si="21"/>
        <v>4.8036603380206406</v>
      </c>
      <c r="AD282" s="4">
        <f t="shared" si="22"/>
        <v>1.064093072197136</v>
      </c>
      <c r="AE282" s="4">
        <f t="shared" si="23"/>
        <v>1.4347904647760277</v>
      </c>
      <c r="AF282">
        <f t="shared" si="24"/>
        <v>37.852100250040436</v>
      </c>
      <c r="AG282" t="s">
        <v>497</v>
      </c>
      <c r="AH282" t="s">
        <v>48</v>
      </c>
      <c r="AI282" t="s">
        <v>487</v>
      </c>
      <c r="AJ282" t="s">
        <v>488</v>
      </c>
    </row>
    <row r="283" spans="1:36" x14ac:dyDescent="0.3">
      <c r="A283" t="s">
        <v>827</v>
      </c>
      <c r="B283" t="s">
        <v>412</v>
      </c>
      <c r="C283" t="s">
        <v>490</v>
      </c>
      <c r="D283" s="9" t="s">
        <v>560</v>
      </c>
      <c r="E283" t="s">
        <v>50</v>
      </c>
      <c r="F283" t="s">
        <v>101</v>
      </c>
      <c r="G283" s="4">
        <v>6.72</v>
      </c>
      <c r="H283" s="4">
        <v>740.8</v>
      </c>
      <c r="I283" s="4">
        <v>532.5</v>
      </c>
      <c r="J283" s="4">
        <v>30.3</v>
      </c>
      <c r="K283" s="4">
        <v>51.73</v>
      </c>
      <c r="L283" s="4">
        <v>21.54</v>
      </c>
      <c r="M283" s="4">
        <v>56.28</v>
      </c>
      <c r="N283" s="4">
        <v>5.9</v>
      </c>
      <c r="O283" s="4">
        <v>168.92</v>
      </c>
      <c r="P283" s="4">
        <v>100.86</v>
      </c>
      <c r="Q283" s="4">
        <v>35.17</v>
      </c>
      <c r="R283" s="4">
        <v>13.36</v>
      </c>
      <c r="S283" s="4">
        <v>0.76</v>
      </c>
      <c r="T283" s="4">
        <v>-3.18</v>
      </c>
      <c r="U283" s="4">
        <v>-23.49</v>
      </c>
      <c r="V283" s="4">
        <v>0.217</v>
      </c>
      <c r="W283" s="4">
        <v>69.3</v>
      </c>
      <c r="X283" s="4">
        <v>-0.02</v>
      </c>
      <c r="Y283" s="4">
        <v>-0.57999999999999996</v>
      </c>
      <c r="Z283" s="4">
        <v>-1</v>
      </c>
      <c r="AA283" s="4">
        <v>-4.79</v>
      </c>
      <c r="AB283" s="4">
        <f t="shared" si="20"/>
        <v>6.9529711651919373</v>
      </c>
      <c r="AC283" s="4">
        <f t="shared" si="21"/>
        <v>6.6010691446565701</v>
      </c>
      <c r="AD283" s="4">
        <f t="shared" si="22"/>
        <v>2.596288726393055</v>
      </c>
      <c r="AE283" s="4">
        <f t="shared" si="23"/>
        <v>1.6592343860055234</v>
      </c>
      <c r="AF283">
        <f t="shared" si="24"/>
        <v>37.380138116410599</v>
      </c>
      <c r="AG283" t="s">
        <v>664</v>
      </c>
      <c r="AH283" t="s">
        <v>733</v>
      </c>
      <c r="AI283" t="s">
        <v>487</v>
      </c>
      <c r="AJ283" t="s">
        <v>488</v>
      </c>
    </row>
    <row r="284" spans="1:36" x14ac:dyDescent="0.3">
      <c r="A284" t="s">
        <v>828</v>
      </c>
      <c r="B284" t="s">
        <v>414</v>
      </c>
      <c r="C284" t="s">
        <v>484</v>
      </c>
      <c r="D284" s="9" t="s">
        <v>504</v>
      </c>
      <c r="E284" t="s">
        <v>50</v>
      </c>
      <c r="F284" t="s">
        <v>75</v>
      </c>
      <c r="G284" s="4">
        <v>6.65</v>
      </c>
      <c r="H284" s="4">
        <v>726.8</v>
      </c>
      <c r="I284" s="4">
        <v>451.1</v>
      </c>
      <c r="J284" s="4">
        <v>28</v>
      </c>
      <c r="K284" s="4">
        <v>37.19</v>
      </c>
      <c r="L284" s="4">
        <v>15.24</v>
      </c>
      <c r="M284" s="4">
        <v>42.55</v>
      </c>
      <c r="N284" s="4">
        <v>5.77</v>
      </c>
      <c r="O284" s="4">
        <v>140.30000000000001</v>
      </c>
      <c r="P284" s="4">
        <v>48.77</v>
      </c>
      <c r="Q284" s="4">
        <v>47.65</v>
      </c>
      <c r="R284" s="4">
        <v>51.44</v>
      </c>
      <c r="S284" s="4">
        <v>0.32</v>
      </c>
      <c r="T284" s="4">
        <v>-4.5</v>
      </c>
      <c r="U284" s="4">
        <v>-28.81</v>
      </c>
      <c r="V284" s="4">
        <v>0.313</v>
      </c>
      <c r="W284" s="4">
        <v>52.9</v>
      </c>
      <c r="X284" s="4">
        <v>-0.47</v>
      </c>
      <c r="Y284" s="4">
        <v>-0.46</v>
      </c>
      <c r="Z284" s="4">
        <v>-0.98</v>
      </c>
      <c r="AA284" s="4">
        <v>-4.8600000000000003</v>
      </c>
      <c r="AB284" s="4">
        <f t="shared" si="20"/>
        <v>5.1084070691875274</v>
      </c>
      <c r="AC284" s="4">
        <f t="shared" si="21"/>
        <v>5.5135649548906374</v>
      </c>
      <c r="AD284" s="4">
        <f t="shared" si="22"/>
        <v>-3.8143377217025938</v>
      </c>
      <c r="AE284" s="4">
        <f t="shared" si="23"/>
        <v>1.4842880767989777</v>
      </c>
      <c r="AF284">
        <f t="shared" si="24"/>
        <v>39.121061812864994</v>
      </c>
      <c r="AG284" t="s">
        <v>492</v>
      </c>
      <c r="AH284" t="s">
        <v>506</v>
      </c>
      <c r="AI284" t="s">
        <v>487</v>
      </c>
      <c r="AJ284" t="s">
        <v>488</v>
      </c>
    </row>
    <row r="285" spans="1:36" x14ac:dyDescent="0.3">
      <c r="A285" t="s">
        <v>829</v>
      </c>
      <c r="B285" t="s">
        <v>414</v>
      </c>
      <c r="C285" t="s">
        <v>490</v>
      </c>
      <c r="D285" s="9" t="s">
        <v>502</v>
      </c>
      <c r="E285" t="s">
        <v>50</v>
      </c>
      <c r="F285" t="s">
        <v>75</v>
      </c>
      <c r="G285" s="4">
        <v>6.93</v>
      </c>
      <c r="H285" s="4">
        <v>840.9</v>
      </c>
      <c r="I285" s="4">
        <v>582.79999999999995</v>
      </c>
      <c r="J285" s="4">
        <v>30.7</v>
      </c>
      <c r="K285" s="4">
        <v>47.35</v>
      </c>
      <c r="L285" s="4">
        <v>21.54</v>
      </c>
      <c r="M285" s="4">
        <v>62.91</v>
      </c>
      <c r="N285" s="4">
        <v>5.77</v>
      </c>
      <c r="O285" s="4">
        <v>189.4</v>
      </c>
      <c r="P285" s="4">
        <v>74.709999999999994</v>
      </c>
      <c r="Q285" s="4">
        <v>73.760000000000005</v>
      </c>
      <c r="R285" s="4">
        <v>37.56</v>
      </c>
      <c r="S285" s="4">
        <v>0.66</v>
      </c>
      <c r="T285" s="4">
        <v>-3.52</v>
      </c>
      <c r="U285" s="4">
        <v>-20.97</v>
      </c>
      <c r="V285" s="4">
        <v>0.29699999999999999</v>
      </c>
      <c r="W285" s="4">
        <v>55</v>
      </c>
      <c r="X285" s="4">
        <v>0.03</v>
      </c>
      <c r="Y285" s="4">
        <v>-0.36</v>
      </c>
      <c r="Z285" s="4">
        <v>-0.8</v>
      </c>
      <c r="AA285" s="4">
        <v>-4.6500000000000004</v>
      </c>
      <c r="AB285" s="4">
        <f t="shared" si="20"/>
        <v>7.0194712052311896</v>
      </c>
      <c r="AC285" s="4">
        <f t="shared" si="21"/>
        <v>7.3876067523857678</v>
      </c>
      <c r="AD285" s="4">
        <f t="shared" si="22"/>
        <v>-2.5552408908840989</v>
      </c>
      <c r="AE285" s="4">
        <f t="shared" si="23"/>
        <v>1.9030822800624096</v>
      </c>
      <c r="AF285">
        <f t="shared" si="24"/>
        <v>41.087198188941294</v>
      </c>
      <c r="AG285" t="s">
        <v>492</v>
      </c>
      <c r="AH285" t="s">
        <v>48</v>
      </c>
      <c r="AI285" t="s">
        <v>487</v>
      </c>
      <c r="AJ285" t="s">
        <v>488</v>
      </c>
    </row>
    <row r="286" spans="1:36" x14ac:dyDescent="0.3">
      <c r="A286" t="s">
        <v>830</v>
      </c>
      <c r="B286" t="s">
        <v>416</v>
      </c>
      <c r="C286" t="s">
        <v>484</v>
      </c>
      <c r="D286" s="9" t="s">
        <v>621</v>
      </c>
      <c r="E286" t="s">
        <v>50</v>
      </c>
      <c r="F286" t="s">
        <v>101</v>
      </c>
      <c r="G286" s="4">
        <v>7.15</v>
      </c>
      <c r="H286" s="4">
        <v>631.4</v>
      </c>
      <c r="I286" s="4">
        <v>378.2</v>
      </c>
      <c r="J286" s="4">
        <v>29.8</v>
      </c>
      <c r="K286" s="4">
        <v>31.53</v>
      </c>
      <c r="L286" s="4">
        <v>15.01</v>
      </c>
      <c r="M286" s="4">
        <v>38.03</v>
      </c>
      <c r="N286" s="4">
        <v>4.59</v>
      </c>
      <c r="O286" s="4">
        <v>110.95</v>
      </c>
      <c r="P286" s="4">
        <v>55.52</v>
      </c>
      <c r="Q286" s="4">
        <v>32.75</v>
      </c>
      <c r="R286" s="4">
        <v>31.07</v>
      </c>
      <c r="S286" s="4">
        <v>0.43</v>
      </c>
      <c r="T286" s="4">
        <v>-3.65</v>
      </c>
      <c r="U286" s="4">
        <v>-19.690000000000001</v>
      </c>
      <c r="V286" s="4">
        <v>0.191</v>
      </c>
      <c r="W286" s="4">
        <v>53</v>
      </c>
      <c r="X286" s="4">
        <v>-0.5</v>
      </c>
      <c r="Y286" s="4">
        <v>-0.52</v>
      </c>
      <c r="Z286" s="4">
        <v>-1.26</v>
      </c>
      <c r="AA286" s="4">
        <v>-4.7699999999999996</v>
      </c>
      <c r="AB286" s="4">
        <f t="shared" si="20"/>
        <v>4.5802353536338494</v>
      </c>
      <c r="AC286" s="4">
        <f t="shared" si="21"/>
        <v>4.5899813805180587</v>
      </c>
      <c r="AD286" s="4">
        <f t="shared" si="22"/>
        <v>-0.10627913348997504</v>
      </c>
      <c r="AE286" s="4">
        <f t="shared" si="23"/>
        <v>1.3959784821885737</v>
      </c>
      <c r="AF286">
        <f t="shared" si="24"/>
        <v>38.680692273310214</v>
      </c>
      <c r="AG286" t="s">
        <v>606</v>
      </c>
      <c r="AH286" t="s">
        <v>48</v>
      </c>
      <c r="AI286" t="s">
        <v>487</v>
      </c>
      <c r="AJ286" t="s">
        <v>488</v>
      </c>
    </row>
    <row r="287" spans="1:36" x14ac:dyDescent="0.3">
      <c r="A287" t="s">
        <v>831</v>
      </c>
      <c r="B287" t="s">
        <v>416</v>
      </c>
      <c r="C287" t="s">
        <v>490</v>
      </c>
      <c r="D287" s="9" t="s">
        <v>588</v>
      </c>
      <c r="E287" t="s">
        <v>50</v>
      </c>
      <c r="F287" t="s">
        <v>101</v>
      </c>
      <c r="G287" s="4">
        <v>6.87</v>
      </c>
      <c r="H287" s="4">
        <v>941.8</v>
      </c>
      <c r="I287" s="4">
        <v>604.79999999999995</v>
      </c>
      <c r="J287" s="4">
        <v>28.2</v>
      </c>
      <c r="K287" s="4">
        <v>63.35</v>
      </c>
      <c r="L287" s="4">
        <v>19.39</v>
      </c>
      <c r="M287" s="4">
        <v>59.45</v>
      </c>
      <c r="N287" s="4">
        <v>7.19</v>
      </c>
      <c r="O287" s="4">
        <v>208.11</v>
      </c>
      <c r="P287" s="4">
        <v>95.2</v>
      </c>
      <c r="Q287" s="4">
        <v>47.36</v>
      </c>
      <c r="R287" s="4">
        <v>33.869999999999997</v>
      </c>
      <c r="S287" s="4">
        <v>1.3</v>
      </c>
      <c r="T287" s="4">
        <v>-3.27</v>
      </c>
      <c r="U287" s="4">
        <v>-20.97</v>
      </c>
      <c r="V287" s="4">
        <v>0.16600000000000001</v>
      </c>
      <c r="W287" s="4">
        <v>66</v>
      </c>
      <c r="X287" s="4">
        <v>-0.2</v>
      </c>
      <c r="Y287" s="4">
        <v>-0.06</v>
      </c>
      <c r="Z287" s="4">
        <v>-0.86</v>
      </c>
      <c r="AA287" s="4">
        <v>-4.82</v>
      </c>
      <c r="AB287" s="4">
        <f t="shared" si="20"/>
        <v>7.5268081409433343</v>
      </c>
      <c r="AC287" s="4">
        <f t="shared" si="21"/>
        <v>7.6967157691925925</v>
      </c>
      <c r="AD287" s="4">
        <f t="shared" si="22"/>
        <v>-1.1160860603117819</v>
      </c>
      <c r="AE287" s="4">
        <f t="shared" si="23"/>
        <v>1.6768149484258705</v>
      </c>
      <c r="AF287">
        <f t="shared" si="24"/>
        <v>36.800675973602942</v>
      </c>
      <c r="AG287" t="s">
        <v>497</v>
      </c>
      <c r="AH287" t="s">
        <v>48</v>
      </c>
      <c r="AI287" t="s">
        <v>487</v>
      </c>
      <c r="AJ287" t="s">
        <v>488</v>
      </c>
    </row>
    <row r="288" spans="1:36" x14ac:dyDescent="0.3">
      <c r="A288" t="s">
        <v>832</v>
      </c>
      <c r="B288" t="s">
        <v>418</v>
      </c>
      <c r="C288" t="s">
        <v>484</v>
      </c>
      <c r="D288" s="9" t="s">
        <v>649</v>
      </c>
      <c r="E288" t="s">
        <v>50</v>
      </c>
      <c r="F288" t="s">
        <v>277</v>
      </c>
      <c r="G288" s="4">
        <v>6.93</v>
      </c>
      <c r="H288" s="4">
        <v>500.1</v>
      </c>
      <c r="I288" s="4">
        <v>318.89999999999998</v>
      </c>
      <c r="J288" s="4">
        <v>29.2</v>
      </c>
      <c r="K288" s="4">
        <v>26.84</v>
      </c>
      <c r="L288" s="4">
        <v>11.89</v>
      </c>
      <c r="M288" s="4">
        <v>28.95</v>
      </c>
      <c r="N288" s="4">
        <v>4.03</v>
      </c>
      <c r="O288" s="4">
        <v>91.24</v>
      </c>
      <c r="P288" s="4">
        <v>40.630000000000003</v>
      </c>
      <c r="Q288" s="4">
        <v>21.03</v>
      </c>
      <c r="R288" s="4">
        <v>23.35</v>
      </c>
      <c r="S288" s="4">
        <v>0.86</v>
      </c>
      <c r="T288" s="4">
        <v>-4.24</v>
      </c>
      <c r="U288" s="4">
        <v>-25.41</v>
      </c>
      <c r="V288" s="4">
        <v>0.20399999999999999</v>
      </c>
      <c r="W288" s="4">
        <v>68.5</v>
      </c>
      <c r="X288" s="4">
        <v>-7.0000000000000007E-2</v>
      </c>
      <c r="Y288" s="4">
        <v>-0.74</v>
      </c>
      <c r="Z288" s="4">
        <v>-1.24</v>
      </c>
      <c r="AA288" s="4">
        <v>-4.55</v>
      </c>
      <c r="AB288" s="4">
        <f t="shared" si="20"/>
        <v>3.6801599504451268</v>
      </c>
      <c r="AC288" s="4">
        <f t="shared" si="21"/>
        <v>3.5010722038920701</v>
      </c>
      <c r="AD288" s="4">
        <f t="shared" si="22"/>
        <v>2.4938303442104206</v>
      </c>
      <c r="AE288" s="4">
        <f t="shared" si="23"/>
        <v>1.1697866446958876</v>
      </c>
      <c r="AF288">
        <f t="shared" si="24"/>
        <v>37.019376045932752</v>
      </c>
      <c r="AG288" t="s">
        <v>492</v>
      </c>
      <c r="AH288" t="s">
        <v>48</v>
      </c>
      <c r="AI288" t="s">
        <v>487</v>
      </c>
      <c r="AJ288" t="s">
        <v>488</v>
      </c>
    </row>
    <row r="289" spans="1:36" x14ac:dyDescent="0.3">
      <c r="A289" t="s">
        <v>833</v>
      </c>
      <c r="B289" t="s">
        <v>418</v>
      </c>
      <c r="C289" t="s">
        <v>490</v>
      </c>
      <c r="D289" s="9" t="s">
        <v>496</v>
      </c>
      <c r="E289" t="s">
        <v>50</v>
      </c>
      <c r="F289" t="s">
        <v>277</v>
      </c>
      <c r="G289" s="4">
        <v>7.43</v>
      </c>
      <c r="H289" s="4">
        <v>726.1</v>
      </c>
      <c r="I289" s="4">
        <v>471</v>
      </c>
      <c r="J289" s="4">
        <v>30</v>
      </c>
      <c r="K289" s="4">
        <v>48.79</v>
      </c>
      <c r="L289" s="4">
        <v>15.31</v>
      </c>
      <c r="M289" s="4">
        <v>38.24</v>
      </c>
      <c r="N289" s="4">
        <v>4.66</v>
      </c>
      <c r="O289" s="4">
        <v>160.06</v>
      </c>
      <c r="P289" s="4">
        <v>63.76</v>
      </c>
      <c r="Q289" s="4">
        <v>31.69</v>
      </c>
      <c r="R289" s="4">
        <v>27.64</v>
      </c>
      <c r="S289" s="4">
        <v>1.1200000000000001</v>
      </c>
      <c r="T289" s="4">
        <v>-2.96</v>
      </c>
      <c r="U289" s="4">
        <v>-18.14</v>
      </c>
      <c r="V289" s="4">
        <v>0.17399999999999999</v>
      </c>
      <c r="W289" s="4">
        <v>61</v>
      </c>
      <c r="X289" s="4">
        <v>-0.26</v>
      </c>
      <c r="Y289" s="4">
        <v>-0.71</v>
      </c>
      <c r="Z289" s="4">
        <v>-1.3</v>
      </c>
      <c r="AA289" s="4">
        <v>-4.3499999999999996</v>
      </c>
      <c r="AB289" s="4">
        <f t="shared" si="20"/>
        <v>5.4771672338590989</v>
      </c>
      <c r="AC289" s="4">
        <f t="shared" si="21"/>
        <v>5.5862044856176949</v>
      </c>
      <c r="AD289" s="4">
        <f t="shared" si="22"/>
        <v>-0.98556981111498421</v>
      </c>
      <c r="AE289" s="4">
        <f t="shared" si="23"/>
        <v>1.2238566135775919</v>
      </c>
      <c r="AF289">
        <f t="shared" si="24"/>
        <v>32.545873495035067</v>
      </c>
      <c r="AG289" t="s">
        <v>486</v>
      </c>
      <c r="AH289" t="s">
        <v>48</v>
      </c>
      <c r="AI289" t="s">
        <v>487</v>
      </c>
      <c r="AJ289" t="s">
        <v>488</v>
      </c>
    </row>
    <row r="290" spans="1:36" x14ac:dyDescent="0.3">
      <c r="A290" t="s">
        <v>834</v>
      </c>
      <c r="B290" t="s">
        <v>420</v>
      </c>
      <c r="C290" t="s">
        <v>484</v>
      </c>
      <c r="D290" s="9" t="s">
        <v>565</v>
      </c>
      <c r="E290" t="s">
        <v>50</v>
      </c>
      <c r="F290" t="s">
        <v>75</v>
      </c>
      <c r="G290" s="4">
        <v>6.95</v>
      </c>
      <c r="H290" s="4">
        <v>661.1</v>
      </c>
      <c r="I290" s="4">
        <v>388</v>
      </c>
      <c r="J290" s="4">
        <v>28.2</v>
      </c>
      <c r="K290" s="4">
        <v>34.32</v>
      </c>
      <c r="L290" s="4">
        <v>11.5</v>
      </c>
      <c r="M290" s="4">
        <v>47.78</v>
      </c>
      <c r="N290" s="4">
        <v>4.1100000000000003</v>
      </c>
      <c r="O290" s="4">
        <v>127.65</v>
      </c>
      <c r="P290" s="4">
        <v>49.61</v>
      </c>
      <c r="Q290" s="4">
        <v>50.19</v>
      </c>
      <c r="R290" s="4">
        <v>24.94</v>
      </c>
      <c r="S290" s="4">
        <v>0.04</v>
      </c>
      <c r="T290" s="4">
        <v>-4.0999999999999996</v>
      </c>
      <c r="U290" s="4">
        <v>-27.9</v>
      </c>
      <c r="V290" s="4">
        <v>0.245</v>
      </c>
      <c r="W290" s="4">
        <v>41.4</v>
      </c>
      <c r="X290" s="4">
        <v>-0.8</v>
      </c>
      <c r="Y290" s="4">
        <v>-1.08</v>
      </c>
      <c r="Z290" s="4">
        <v>-0.66</v>
      </c>
      <c r="AA290" s="4">
        <v>-4.97</v>
      </c>
      <c r="AB290" s="4">
        <f t="shared" si="20"/>
        <v>4.8424734377944647</v>
      </c>
      <c r="AC290" s="4">
        <f t="shared" si="21"/>
        <v>4.9406952692069392</v>
      </c>
      <c r="AD290" s="4">
        <f t="shared" si="22"/>
        <v>-1.0039879138768331</v>
      </c>
      <c r="AE290" s="4">
        <f t="shared" si="23"/>
        <v>1.802538442564444</v>
      </c>
      <c r="AF290">
        <f t="shared" si="24"/>
        <v>45.090712613805302</v>
      </c>
      <c r="AG290" t="s">
        <v>521</v>
      </c>
      <c r="AH290" t="s">
        <v>48</v>
      </c>
      <c r="AI290" t="s">
        <v>487</v>
      </c>
      <c r="AJ290" t="s">
        <v>488</v>
      </c>
    </row>
    <row r="291" spans="1:36" x14ac:dyDescent="0.3">
      <c r="A291" t="s">
        <v>835</v>
      </c>
      <c r="B291" t="s">
        <v>420</v>
      </c>
      <c r="C291" t="s">
        <v>490</v>
      </c>
      <c r="D291" s="9" t="s">
        <v>560</v>
      </c>
      <c r="E291" t="s">
        <v>50</v>
      </c>
      <c r="F291" t="s">
        <v>75</v>
      </c>
      <c r="G291" s="4">
        <v>7.28</v>
      </c>
      <c r="H291" s="4">
        <v>823.5</v>
      </c>
      <c r="I291" s="4">
        <v>590.6</v>
      </c>
      <c r="J291" s="4">
        <v>30.2</v>
      </c>
      <c r="K291" s="4">
        <v>57.6</v>
      </c>
      <c r="L291" s="4">
        <v>17.670000000000002</v>
      </c>
      <c r="M291" s="4">
        <v>71.77</v>
      </c>
      <c r="N291" s="4">
        <v>4.9000000000000004</v>
      </c>
      <c r="O291" s="4">
        <v>217.18</v>
      </c>
      <c r="P291" s="4">
        <v>87.2</v>
      </c>
      <c r="Q291" s="4">
        <v>56.87</v>
      </c>
      <c r="R291" s="4">
        <v>27.43</v>
      </c>
      <c r="S291" s="4">
        <v>0.12</v>
      </c>
      <c r="T291" s="4">
        <v>-3.09</v>
      </c>
      <c r="U291" s="4">
        <v>-24.31</v>
      </c>
      <c r="V291" s="4">
        <v>0.26800000000000002</v>
      </c>
      <c r="W291" s="4">
        <v>40.799999999999997</v>
      </c>
      <c r="X291" s="4">
        <v>0.01</v>
      </c>
      <c r="Y291" s="4">
        <v>-0.36</v>
      </c>
      <c r="Z291" s="4">
        <v>-0.67</v>
      </c>
      <c r="AA291" s="4">
        <v>-4.37</v>
      </c>
      <c r="AB291" s="4">
        <f t="shared" si="20"/>
        <v>7.5756707182870606</v>
      </c>
      <c r="AC291" s="4">
        <f t="shared" si="21"/>
        <v>7.6517411307801355</v>
      </c>
      <c r="AD291" s="4">
        <f t="shared" si="22"/>
        <v>-0.49956232383466287</v>
      </c>
      <c r="AE291" s="4">
        <f t="shared" si="23"/>
        <v>2.1221365725597989</v>
      </c>
      <c r="AF291">
        <f t="shared" si="24"/>
        <v>42.864244011411628</v>
      </c>
      <c r="AG291" t="s">
        <v>492</v>
      </c>
      <c r="AH291" t="s">
        <v>48</v>
      </c>
      <c r="AI291" t="s">
        <v>487</v>
      </c>
      <c r="AJ291" t="s">
        <v>488</v>
      </c>
    </row>
    <row r="292" spans="1:36" x14ac:dyDescent="0.3">
      <c r="A292" t="s">
        <v>836</v>
      </c>
      <c r="B292" t="s">
        <v>422</v>
      </c>
      <c r="C292" t="s">
        <v>484</v>
      </c>
      <c r="D292" s="9" t="s">
        <v>539</v>
      </c>
      <c r="E292" t="s">
        <v>50</v>
      </c>
      <c r="F292" t="s">
        <v>101</v>
      </c>
      <c r="G292" s="4">
        <v>7.23</v>
      </c>
      <c r="H292" s="4">
        <v>630.4</v>
      </c>
      <c r="I292" s="4">
        <v>373.1</v>
      </c>
      <c r="J292" s="4">
        <v>27.6</v>
      </c>
      <c r="K292" s="4">
        <v>27.17</v>
      </c>
      <c r="L292" s="4">
        <v>8.84</v>
      </c>
      <c r="M292" s="4">
        <v>40.950000000000003</v>
      </c>
      <c r="N292" s="4">
        <v>3.96</v>
      </c>
      <c r="O292" s="4">
        <v>104.78</v>
      </c>
      <c r="P292" s="4">
        <v>39.85</v>
      </c>
      <c r="Q292" s="4">
        <v>31.21</v>
      </c>
      <c r="R292" s="4">
        <v>47.22</v>
      </c>
      <c r="S292" s="4">
        <v>0.19</v>
      </c>
      <c r="T292" s="4">
        <v>-4.6399999999999997</v>
      </c>
      <c r="U292" s="4">
        <v>-26.74</v>
      </c>
      <c r="V292" s="4">
        <v>0.215</v>
      </c>
      <c r="W292" s="4">
        <v>67.099999999999994</v>
      </c>
      <c r="X292" s="4">
        <v>0</v>
      </c>
      <c r="Y292" s="4">
        <v>0.03</v>
      </c>
      <c r="Z292" s="4">
        <v>-1.69</v>
      </c>
      <c r="AA292" s="4">
        <v>-4.6900000000000004</v>
      </c>
      <c r="AB292" s="4">
        <f t="shared" si="20"/>
        <v>3.9658490772041115</v>
      </c>
      <c r="AC292" s="4">
        <f t="shared" si="21"/>
        <v>4.2626338211810033</v>
      </c>
      <c r="AD292" s="4">
        <f t="shared" si="22"/>
        <v>-3.6067978464795427</v>
      </c>
      <c r="AE292" s="4">
        <f t="shared" si="23"/>
        <v>1.7453204038868855</v>
      </c>
      <c r="AF292">
        <f t="shared" si="24"/>
        <v>47.469548609410992</v>
      </c>
      <c r="AG292" t="s">
        <v>521</v>
      </c>
      <c r="AH292" t="s">
        <v>500</v>
      </c>
      <c r="AI292" t="s">
        <v>487</v>
      </c>
      <c r="AJ292" t="s">
        <v>488</v>
      </c>
    </row>
    <row r="293" spans="1:36" x14ac:dyDescent="0.3">
      <c r="A293" t="s">
        <v>837</v>
      </c>
      <c r="B293" t="s">
        <v>422</v>
      </c>
      <c r="C293" t="s">
        <v>490</v>
      </c>
      <c r="D293" s="9" t="s">
        <v>560</v>
      </c>
      <c r="E293" t="s">
        <v>50</v>
      </c>
      <c r="F293" t="s">
        <v>101</v>
      </c>
      <c r="G293" s="4">
        <v>6.71</v>
      </c>
      <c r="H293" s="4">
        <v>838.3</v>
      </c>
      <c r="I293" s="4">
        <v>545.4</v>
      </c>
      <c r="J293" s="4">
        <v>29.8</v>
      </c>
      <c r="K293" s="4">
        <v>44.82</v>
      </c>
      <c r="L293" s="4">
        <v>19.41</v>
      </c>
      <c r="M293" s="4">
        <v>58.22</v>
      </c>
      <c r="N293" s="4">
        <v>8.82</v>
      </c>
      <c r="O293" s="4">
        <v>187.02</v>
      </c>
      <c r="P293" s="4">
        <v>74.540000000000006</v>
      </c>
      <c r="Q293" s="4">
        <v>37.99</v>
      </c>
      <c r="R293" s="4">
        <v>39.35</v>
      </c>
      <c r="S293" s="4">
        <v>0.93</v>
      </c>
      <c r="T293" s="4">
        <v>-3.36</v>
      </c>
      <c r="U293" s="4">
        <v>-21.58</v>
      </c>
      <c r="V293" s="4">
        <v>0.23400000000000001</v>
      </c>
      <c r="W293" s="4">
        <v>67.599999999999994</v>
      </c>
      <c r="X293" s="4">
        <v>-0.55000000000000004</v>
      </c>
      <c r="Y293" s="4">
        <v>-0.92</v>
      </c>
      <c r="Z293" s="4">
        <v>-0.75</v>
      </c>
      <c r="AA293" s="4">
        <v>-4.78</v>
      </c>
      <c r="AB293" s="4">
        <f t="shared" si="20"/>
        <v>6.5919433140454551</v>
      </c>
      <c r="AC293" s="4">
        <f t="shared" si="21"/>
        <v>6.6421433487189061</v>
      </c>
      <c r="AD293" s="4">
        <f t="shared" si="22"/>
        <v>-0.37932375654373368</v>
      </c>
      <c r="AE293" s="4">
        <f t="shared" si="23"/>
        <v>1.8291532058564974</v>
      </c>
      <c r="AF293">
        <f t="shared" si="24"/>
        <v>41.840507511428264</v>
      </c>
      <c r="AG293" t="s">
        <v>492</v>
      </c>
      <c r="AH293" t="s">
        <v>48</v>
      </c>
      <c r="AI293" t="s">
        <v>487</v>
      </c>
      <c r="AJ293" t="s">
        <v>488</v>
      </c>
    </row>
    <row r="294" spans="1:36" x14ac:dyDescent="0.3">
      <c r="A294" t="s">
        <v>838</v>
      </c>
      <c r="B294" t="s">
        <v>424</v>
      </c>
      <c r="C294" t="s">
        <v>484</v>
      </c>
      <c r="D294" s="9" t="s">
        <v>504</v>
      </c>
      <c r="E294" t="s">
        <v>50</v>
      </c>
      <c r="F294" t="s">
        <v>75</v>
      </c>
      <c r="G294" s="4">
        <v>6.99</v>
      </c>
      <c r="H294" s="4">
        <v>570.1</v>
      </c>
      <c r="I294" s="4">
        <v>385.5</v>
      </c>
      <c r="J294" s="4">
        <v>28.7</v>
      </c>
      <c r="K294" s="4">
        <v>35.36</v>
      </c>
      <c r="L294" s="4">
        <v>9.58</v>
      </c>
      <c r="M294" s="4">
        <v>46.1</v>
      </c>
      <c r="N294" s="4">
        <v>4.37</v>
      </c>
      <c r="O294" s="4">
        <v>137.47999999999999</v>
      </c>
      <c r="P294" s="4">
        <v>45.53</v>
      </c>
      <c r="Q294" s="4">
        <v>42.74</v>
      </c>
      <c r="R294" s="4">
        <v>11.78</v>
      </c>
      <c r="S294" s="4">
        <v>0.6</v>
      </c>
      <c r="T294" s="4">
        <v>-3.85</v>
      </c>
      <c r="U294" s="4">
        <v>-24.7</v>
      </c>
      <c r="V294" s="4">
        <v>0.309</v>
      </c>
      <c r="W294" s="4">
        <v>51.6</v>
      </c>
      <c r="X294" s="4">
        <v>-0.39</v>
      </c>
      <c r="Y294" s="4">
        <v>-0.45</v>
      </c>
      <c r="Z294" s="4">
        <v>-0.81</v>
      </c>
      <c r="AA294" s="4">
        <v>-5.09</v>
      </c>
      <c r="AB294" s="4">
        <f t="shared" si="20"/>
        <v>4.6699515801669156</v>
      </c>
      <c r="AC294" s="4">
        <f t="shared" si="21"/>
        <v>4.6488427213049048</v>
      </c>
      <c r="AD294" s="4">
        <f t="shared" si="22"/>
        <v>0.22651920601656367</v>
      </c>
      <c r="AE294" s="4">
        <f t="shared" si="23"/>
        <v>1.7749295905319642</v>
      </c>
      <c r="AF294">
        <f t="shared" si="24"/>
        <v>45.334031254898477</v>
      </c>
      <c r="AG294" t="s">
        <v>492</v>
      </c>
      <c r="AH294" t="s">
        <v>500</v>
      </c>
      <c r="AI294" t="s">
        <v>487</v>
      </c>
      <c r="AJ294" t="s">
        <v>488</v>
      </c>
    </row>
    <row r="295" spans="1:36" x14ac:dyDescent="0.3">
      <c r="A295" t="s">
        <v>839</v>
      </c>
      <c r="B295" t="s">
        <v>424</v>
      </c>
      <c r="C295" t="s">
        <v>490</v>
      </c>
      <c r="D295" s="9" t="s">
        <v>553</v>
      </c>
      <c r="E295" t="s">
        <v>50</v>
      </c>
      <c r="F295" t="s">
        <v>75</v>
      </c>
      <c r="G295" s="4">
        <v>7.41</v>
      </c>
      <c r="H295" s="4">
        <v>877.7</v>
      </c>
      <c r="I295" s="4">
        <v>602.70000000000005</v>
      </c>
      <c r="J295" s="4">
        <v>28.3</v>
      </c>
      <c r="K295" s="4">
        <v>62.63</v>
      </c>
      <c r="L295" s="4">
        <v>20.27</v>
      </c>
      <c r="M295" s="4">
        <v>55.03</v>
      </c>
      <c r="N295" s="4">
        <v>7.67</v>
      </c>
      <c r="O295" s="4">
        <v>225.41</v>
      </c>
      <c r="P295" s="4">
        <v>84.29</v>
      </c>
      <c r="Q295" s="4">
        <v>45.19</v>
      </c>
      <c r="R295" s="4">
        <v>32</v>
      </c>
      <c r="S295" s="4">
        <v>0.87</v>
      </c>
      <c r="T295" s="4">
        <v>-2.73</v>
      </c>
      <c r="U295" s="4">
        <v>-18.62</v>
      </c>
      <c r="V295" s="4">
        <v>0.183</v>
      </c>
      <c r="W295" s="4">
        <v>45.9</v>
      </c>
      <c r="X295" s="4">
        <v>0.19</v>
      </c>
      <c r="Y295" s="4">
        <v>0.23</v>
      </c>
      <c r="Z295" s="4">
        <v>-1.18</v>
      </c>
      <c r="AA295" s="4">
        <v>-5.0599999999999996</v>
      </c>
      <c r="AB295" s="4">
        <f t="shared" si="20"/>
        <v>7.3833022645687629</v>
      </c>
      <c r="AC295" s="4">
        <f t="shared" si="21"/>
        <v>7.5745436307827561</v>
      </c>
      <c r="AD295" s="4">
        <f t="shared" si="22"/>
        <v>-1.2785354759766954</v>
      </c>
      <c r="AE295" s="4">
        <f t="shared" si="23"/>
        <v>1.5462286874295958</v>
      </c>
      <c r="AF295">
        <f t="shared" si="24"/>
        <v>35.078169074200524</v>
      </c>
      <c r="AG295" t="s">
        <v>497</v>
      </c>
      <c r="AH295" t="s">
        <v>48</v>
      </c>
      <c r="AI295" t="s">
        <v>487</v>
      </c>
      <c r="AJ295" t="s">
        <v>488</v>
      </c>
    </row>
    <row r="296" spans="1:36" x14ac:dyDescent="0.3">
      <c r="A296" t="s">
        <v>840</v>
      </c>
      <c r="B296" t="s">
        <v>426</v>
      </c>
      <c r="C296" t="s">
        <v>484</v>
      </c>
      <c r="D296" s="9" t="s">
        <v>628</v>
      </c>
      <c r="E296" t="s">
        <v>50</v>
      </c>
      <c r="F296" t="s">
        <v>277</v>
      </c>
      <c r="G296" s="4">
        <v>6.66</v>
      </c>
      <c r="H296" s="4">
        <v>574.1</v>
      </c>
      <c r="I296" s="4">
        <v>374.4</v>
      </c>
      <c r="J296" s="4">
        <v>28.9</v>
      </c>
      <c r="K296" s="4">
        <v>32.15</v>
      </c>
      <c r="L296" s="4">
        <v>9.9499999999999993</v>
      </c>
      <c r="M296" s="4">
        <v>33.06</v>
      </c>
      <c r="N296" s="4">
        <v>4.93</v>
      </c>
      <c r="O296" s="4">
        <v>103.99</v>
      </c>
      <c r="P296" s="4">
        <v>37.909999999999997</v>
      </c>
      <c r="Q296" s="4">
        <v>32.619999999999997</v>
      </c>
      <c r="R296" s="4">
        <v>54.74</v>
      </c>
      <c r="S296" s="4">
        <v>0.75</v>
      </c>
      <c r="T296" s="4">
        <v>-4.34</v>
      </c>
      <c r="U296" s="4">
        <v>-23.43</v>
      </c>
      <c r="V296" s="4">
        <v>0.159</v>
      </c>
      <c r="W296" s="4">
        <v>60.2</v>
      </c>
      <c r="X296" s="4">
        <v>-0.32</v>
      </c>
      <c r="Y296" s="4">
        <v>-0.52</v>
      </c>
      <c r="Z296" s="4">
        <v>-1.37</v>
      </c>
      <c r="AA296" s="4">
        <v>-5.05</v>
      </c>
      <c r="AB296" s="4">
        <f t="shared" si="20"/>
        <v>3.9873055349276982</v>
      </c>
      <c r="AC296" s="4">
        <f t="shared" si="21"/>
        <v>4.3750802402038955</v>
      </c>
      <c r="AD296" s="4">
        <f t="shared" si="22"/>
        <v>-4.6371300691410049</v>
      </c>
      <c r="AE296" s="4">
        <f t="shared" si="23"/>
        <v>1.3064991648788455</v>
      </c>
      <c r="AF296">
        <f t="shared" si="24"/>
        <v>39.228809377921387</v>
      </c>
      <c r="AG296" t="s">
        <v>497</v>
      </c>
      <c r="AH296" t="s">
        <v>506</v>
      </c>
      <c r="AI296" t="s">
        <v>487</v>
      </c>
      <c r="AJ296" t="s">
        <v>488</v>
      </c>
    </row>
    <row r="297" spans="1:36" x14ac:dyDescent="0.3">
      <c r="A297" t="s">
        <v>841</v>
      </c>
      <c r="B297" t="s">
        <v>426</v>
      </c>
      <c r="C297" t="s">
        <v>490</v>
      </c>
      <c r="D297" s="9" t="s">
        <v>496</v>
      </c>
      <c r="E297" t="s">
        <v>50</v>
      </c>
      <c r="F297" t="s">
        <v>277</v>
      </c>
      <c r="G297" s="4">
        <v>7.37</v>
      </c>
      <c r="H297" s="4">
        <v>716.2</v>
      </c>
      <c r="I297" s="4">
        <v>502.7</v>
      </c>
      <c r="J297" s="4">
        <v>29.7</v>
      </c>
      <c r="K297" s="4">
        <v>39.85</v>
      </c>
      <c r="L297" s="4">
        <v>23.69</v>
      </c>
      <c r="M297" s="4">
        <v>46.51</v>
      </c>
      <c r="N297" s="4">
        <v>5.36</v>
      </c>
      <c r="O297" s="4">
        <v>166.78</v>
      </c>
      <c r="P297" s="4">
        <v>70.11</v>
      </c>
      <c r="Q297" s="4">
        <v>39.450000000000003</v>
      </c>
      <c r="R297" s="4">
        <v>49.21</v>
      </c>
      <c r="S297" s="4">
        <v>0.92</v>
      </c>
      <c r="T297" s="4">
        <v>-3.48</v>
      </c>
      <c r="U297" s="4">
        <v>-24.83</v>
      </c>
      <c r="V297" s="4">
        <v>0.14099999999999999</v>
      </c>
      <c r="W297" s="4">
        <v>48.7</v>
      </c>
      <c r="X297" s="4">
        <v>-0.33</v>
      </c>
      <c r="Y297" s="4">
        <v>-0.9</v>
      </c>
      <c r="Z297" s="4">
        <v>-0.95</v>
      </c>
      <c r="AA297" s="4">
        <v>-5</v>
      </c>
      <c r="AB297" s="4">
        <f t="shared" si="20"/>
        <v>6.0982482295047546</v>
      </c>
      <c r="AC297" s="4">
        <f t="shared" si="21"/>
        <v>6.3743639002146235</v>
      </c>
      <c r="AD297" s="4">
        <f t="shared" si="22"/>
        <v>-2.2137758140650301</v>
      </c>
      <c r="AE297" s="4">
        <f t="shared" si="23"/>
        <v>1.4417918180388511</v>
      </c>
      <c r="AF297">
        <f t="shared" si="24"/>
        <v>35.423827179277012</v>
      </c>
      <c r="AG297" t="s">
        <v>492</v>
      </c>
      <c r="AH297" t="s">
        <v>48</v>
      </c>
      <c r="AI297" t="s">
        <v>487</v>
      </c>
      <c r="AJ297" t="s">
        <v>488</v>
      </c>
    </row>
    <row r="298" spans="1:36" x14ac:dyDescent="0.3">
      <c r="A298" t="s">
        <v>842</v>
      </c>
      <c r="B298" t="s">
        <v>428</v>
      </c>
      <c r="C298" t="s">
        <v>484</v>
      </c>
      <c r="D298" s="9" t="s">
        <v>508</v>
      </c>
      <c r="E298" t="s">
        <v>50</v>
      </c>
      <c r="F298" t="s">
        <v>101</v>
      </c>
      <c r="G298" s="4">
        <v>7.28</v>
      </c>
      <c r="H298" s="4">
        <v>587.20000000000005</v>
      </c>
      <c r="I298" s="4">
        <v>412.3</v>
      </c>
      <c r="J298" s="4">
        <v>28.3</v>
      </c>
      <c r="K298" s="4">
        <v>33.39</v>
      </c>
      <c r="L298" s="4">
        <v>13.33</v>
      </c>
      <c r="M298" s="4">
        <v>33.590000000000003</v>
      </c>
      <c r="N298" s="4">
        <v>3.76</v>
      </c>
      <c r="O298" s="4">
        <v>136.02000000000001</v>
      </c>
      <c r="P298" s="4">
        <v>49.3</v>
      </c>
      <c r="Q298" s="4">
        <v>24.17</v>
      </c>
      <c r="R298" s="4">
        <v>26.77</v>
      </c>
      <c r="S298" s="4">
        <v>0.96</v>
      </c>
      <c r="T298" s="4">
        <v>-4</v>
      </c>
      <c r="U298" s="4">
        <v>-25.89</v>
      </c>
      <c r="V298" s="4">
        <v>0.191</v>
      </c>
      <c r="W298" s="4">
        <v>63.6</v>
      </c>
      <c r="X298" s="4">
        <v>-0.28999999999999998</v>
      </c>
      <c r="Y298" s="4">
        <v>-0.5</v>
      </c>
      <c r="Z298" s="4">
        <v>-1.2</v>
      </c>
      <c r="AA298" s="4">
        <v>-5.38</v>
      </c>
      <c r="AB298" s="4">
        <f t="shared" si="20"/>
        <v>4.3204466418044181</v>
      </c>
      <c r="AC298" s="4">
        <f t="shared" si="21"/>
        <v>4.6053236359247309</v>
      </c>
      <c r="AD298" s="4">
        <f t="shared" si="22"/>
        <v>-3.1916236387028083</v>
      </c>
      <c r="AE298" s="4">
        <f t="shared" si="23"/>
        <v>1.2430915846385242</v>
      </c>
      <c r="AF298">
        <f t="shared" si="24"/>
        <v>36.044935089211826</v>
      </c>
      <c r="AG298" t="s">
        <v>497</v>
      </c>
      <c r="AH298" t="s">
        <v>48</v>
      </c>
      <c r="AI298" t="s">
        <v>487</v>
      </c>
      <c r="AJ298" t="s">
        <v>488</v>
      </c>
    </row>
    <row r="299" spans="1:36" x14ac:dyDescent="0.3">
      <c r="A299" t="s">
        <v>843</v>
      </c>
      <c r="B299" t="s">
        <v>428</v>
      </c>
      <c r="C299" t="s">
        <v>490</v>
      </c>
      <c r="D299" s="9" t="s">
        <v>546</v>
      </c>
      <c r="E299" t="s">
        <v>50</v>
      </c>
      <c r="F299" t="s">
        <v>101</v>
      </c>
      <c r="G299" s="4">
        <v>6.83</v>
      </c>
      <c r="H299" s="4">
        <v>785.1</v>
      </c>
      <c r="I299" s="4">
        <v>535.20000000000005</v>
      </c>
      <c r="J299" s="4">
        <v>29.3</v>
      </c>
      <c r="K299" s="4">
        <v>48.05</v>
      </c>
      <c r="L299" s="4">
        <v>20.77</v>
      </c>
      <c r="M299" s="4">
        <v>52.35</v>
      </c>
      <c r="N299" s="4">
        <v>6.46</v>
      </c>
      <c r="O299" s="4">
        <v>182.51</v>
      </c>
      <c r="P299" s="4">
        <v>88.4</v>
      </c>
      <c r="Q299" s="4">
        <v>34.47</v>
      </c>
      <c r="R299" s="4">
        <v>30.66</v>
      </c>
      <c r="S299" s="4">
        <v>0.88</v>
      </c>
      <c r="T299" s="4">
        <v>-3.56</v>
      </c>
      <c r="U299" s="4">
        <v>-24.52</v>
      </c>
      <c r="V299" s="4">
        <v>0.183</v>
      </c>
      <c r="W299" s="4">
        <v>69.5</v>
      </c>
      <c r="X299" s="4">
        <v>0.28999999999999998</v>
      </c>
      <c r="Y299" s="4">
        <v>0.47</v>
      </c>
      <c r="Z299" s="4">
        <v>-1.26</v>
      </c>
      <c r="AA299" s="4">
        <v>-4.5999999999999996</v>
      </c>
      <c r="AB299" s="4">
        <f t="shared" si="20"/>
        <v>6.5493394773582247</v>
      </c>
      <c r="AC299" s="4">
        <f t="shared" si="21"/>
        <v>6.7430988293956142</v>
      </c>
      <c r="AD299" s="4">
        <f t="shared" si="22"/>
        <v>-1.4576659869765283</v>
      </c>
      <c r="AE299" s="4">
        <f t="shared" si="23"/>
        <v>1.5891048448620595</v>
      </c>
      <c r="AF299">
        <f t="shared" si="24"/>
        <v>37.292339050569559</v>
      </c>
      <c r="AG299" t="s">
        <v>606</v>
      </c>
      <c r="AH299" t="s">
        <v>48</v>
      </c>
      <c r="AI299" t="s">
        <v>487</v>
      </c>
      <c r="AJ299" t="s">
        <v>488</v>
      </c>
    </row>
    <row r="300" spans="1:36" x14ac:dyDescent="0.3">
      <c r="A300" t="s">
        <v>844</v>
      </c>
      <c r="B300" t="s">
        <v>430</v>
      </c>
      <c r="C300" t="s">
        <v>484</v>
      </c>
      <c r="D300" s="9" t="s">
        <v>565</v>
      </c>
      <c r="E300" t="s">
        <v>50</v>
      </c>
      <c r="F300" t="s">
        <v>142</v>
      </c>
      <c r="G300" s="4">
        <v>7.26</v>
      </c>
      <c r="H300" s="4">
        <v>467.8</v>
      </c>
      <c r="I300" s="4">
        <v>316.10000000000002</v>
      </c>
      <c r="J300" s="4">
        <v>29.7</v>
      </c>
      <c r="K300" s="4">
        <v>32.299999999999997</v>
      </c>
      <c r="L300" s="4">
        <v>9.0500000000000007</v>
      </c>
      <c r="M300" s="4">
        <v>25.13</v>
      </c>
      <c r="N300" s="4">
        <v>4.25</v>
      </c>
      <c r="O300" s="4">
        <v>109.54</v>
      </c>
      <c r="P300" s="4">
        <v>38.01</v>
      </c>
      <c r="Q300" s="4">
        <v>18.53</v>
      </c>
      <c r="R300" s="4">
        <v>19.510000000000002</v>
      </c>
      <c r="S300" s="4">
        <v>0.42</v>
      </c>
      <c r="T300" s="4">
        <v>-3.61</v>
      </c>
      <c r="U300" s="4">
        <v>-26.85</v>
      </c>
      <c r="V300" s="4">
        <v>0.184</v>
      </c>
      <c r="W300" s="4">
        <v>48.6</v>
      </c>
      <c r="X300" s="4">
        <v>-0.55000000000000004</v>
      </c>
      <c r="Y300" s="4">
        <v>-1.08</v>
      </c>
      <c r="Z300" s="4">
        <v>-1.1200000000000001</v>
      </c>
      <c r="AA300" s="4">
        <v>-4.99</v>
      </c>
      <c r="AB300" s="4">
        <f t="shared" si="20"/>
        <v>3.5583923251593483</v>
      </c>
      <c r="AC300" s="4">
        <f t="shared" si="21"/>
        <v>3.5899511551879573</v>
      </c>
      <c r="AD300" s="4">
        <f t="shared" si="22"/>
        <v>-0.44148452176889003</v>
      </c>
      <c r="AE300" s="4">
        <f t="shared" si="23"/>
        <v>1.0070434074938714</v>
      </c>
      <c r="AF300">
        <f t="shared" si="24"/>
        <v>33.77459819462733</v>
      </c>
      <c r="AG300" t="s">
        <v>486</v>
      </c>
      <c r="AH300" t="s">
        <v>48</v>
      </c>
      <c r="AI300" t="s">
        <v>487</v>
      </c>
      <c r="AJ300" t="s">
        <v>488</v>
      </c>
    </row>
    <row r="301" spans="1:36" x14ac:dyDescent="0.3">
      <c r="A301" t="s">
        <v>845</v>
      </c>
      <c r="B301" t="s">
        <v>430</v>
      </c>
      <c r="C301" t="s">
        <v>490</v>
      </c>
      <c r="D301" s="9" t="s">
        <v>588</v>
      </c>
      <c r="E301" t="s">
        <v>50</v>
      </c>
      <c r="F301" t="s">
        <v>142</v>
      </c>
      <c r="G301" s="4">
        <v>6.88</v>
      </c>
      <c r="H301" s="4">
        <v>821</v>
      </c>
      <c r="I301" s="4">
        <v>587.4</v>
      </c>
      <c r="J301" s="4">
        <v>29.2</v>
      </c>
      <c r="K301" s="4">
        <v>54.64</v>
      </c>
      <c r="L301" s="4">
        <v>20.309999999999999</v>
      </c>
      <c r="M301" s="4">
        <v>68.989999999999995</v>
      </c>
      <c r="N301" s="4">
        <v>7.12</v>
      </c>
      <c r="O301" s="4">
        <v>225.36</v>
      </c>
      <c r="P301" s="4">
        <v>93.94</v>
      </c>
      <c r="Q301" s="4">
        <v>44.16</v>
      </c>
      <c r="R301" s="4">
        <v>24.67</v>
      </c>
      <c r="S301" s="4">
        <v>0.25</v>
      </c>
      <c r="T301" s="4">
        <v>-3.44</v>
      </c>
      <c r="U301" s="4">
        <v>-19.62</v>
      </c>
      <c r="V301" s="4">
        <v>0.20699999999999999</v>
      </c>
      <c r="W301" s="4">
        <v>41.3</v>
      </c>
      <c r="X301" s="4">
        <v>-0.33</v>
      </c>
      <c r="Y301" s="4">
        <v>-0.72</v>
      </c>
      <c r="Z301" s="4">
        <v>-0.71</v>
      </c>
      <c r="AA301" s="4">
        <v>-4.83</v>
      </c>
      <c r="AB301" s="4">
        <f t="shared" si="20"/>
        <v>7.5810510057086322</v>
      </c>
      <c r="AC301" s="4">
        <f t="shared" si="21"/>
        <v>7.6736191175204178</v>
      </c>
      <c r="AD301" s="4">
        <f t="shared" si="22"/>
        <v>-0.60681818134387244</v>
      </c>
      <c r="AE301" s="4">
        <f t="shared" si="23"/>
        <v>2.0237469800918366</v>
      </c>
      <c r="AF301">
        <f t="shared" si="24"/>
        <v>41.987673974283062</v>
      </c>
      <c r="AG301" t="s">
        <v>492</v>
      </c>
      <c r="AH301" t="s">
        <v>48</v>
      </c>
      <c r="AI301" t="s">
        <v>487</v>
      </c>
      <c r="AJ301" t="s">
        <v>488</v>
      </c>
    </row>
    <row r="302" spans="1:36" x14ac:dyDescent="0.3">
      <c r="A302" t="s">
        <v>846</v>
      </c>
      <c r="B302" t="s">
        <v>432</v>
      </c>
      <c r="C302" t="s">
        <v>484</v>
      </c>
      <c r="D302" s="9" t="s">
        <v>485</v>
      </c>
      <c r="E302" t="s">
        <v>50</v>
      </c>
      <c r="F302" t="s">
        <v>142</v>
      </c>
      <c r="G302" s="4">
        <v>6.91</v>
      </c>
      <c r="H302" s="4">
        <v>640.1</v>
      </c>
      <c r="I302" s="4">
        <v>400</v>
      </c>
      <c r="J302" s="4">
        <v>30.2</v>
      </c>
      <c r="K302" s="4">
        <v>37.69</v>
      </c>
      <c r="L302" s="4">
        <v>14.95</v>
      </c>
      <c r="M302" s="4">
        <v>34.51</v>
      </c>
      <c r="N302" s="4">
        <v>5.04</v>
      </c>
      <c r="O302" s="4">
        <v>123.53</v>
      </c>
      <c r="P302" s="4">
        <v>62.47</v>
      </c>
      <c r="Q302" s="4">
        <v>35.94</v>
      </c>
      <c r="R302" s="4">
        <v>6</v>
      </c>
      <c r="S302" s="4">
        <v>0.75</v>
      </c>
      <c r="T302" s="4">
        <v>-3.49</v>
      </c>
      <c r="U302" s="4">
        <v>-21.57</v>
      </c>
      <c r="V302" s="4">
        <v>0.24399999999999999</v>
      </c>
      <c r="W302" s="4">
        <v>62.7</v>
      </c>
      <c r="X302" s="4">
        <v>-0.13</v>
      </c>
      <c r="Y302" s="4">
        <v>-0.72</v>
      </c>
      <c r="Z302" s="4">
        <v>-1.05</v>
      </c>
      <c r="AA302" s="4">
        <v>-5.49</v>
      </c>
      <c r="AB302" s="4">
        <f t="shared" si="20"/>
        <v>4.7410914989549626</v>
      </c>
      <c r="AC302" s="4">
        <f t="shared" si="21"/>
        <v>4.6711288129820705</v>
      </c>
      <c r="AD302" s="4">
        <f t="shared" si="22"/>
        <v>0.743317555839211</v>
      </c>
      <c r="AE302" s="4">
        <f t="shared" si="23"/>
        <v>1.2036151427754498</v>
      </c>
      <c r="AF302">
        <f t="shared" si="24"/>
        <v>34.381525330842535</v>
      </c>
      <c r="AG302" t="s">
        <v>608</v>
      </c>
      <c r="AH302" t="s">
        <v>48</v>
      </c>
      <c r="AI302" t="s">
        <v>487</v>
      </c>
      <c r="AJ302" t="s">
        <v>488</v>
      </c>
    </row>
    <row r="303" spans="1:36" x14ac:dyDescent="0.3">
      <c r="A303" t="s">
        <v>847</v>
      </c>
      <c r="B303" t="s">
        <v>432</v>
      </c>
      <c r="C303" t="s">
        <v>490</v>
      </c>
      <c r="D303" s="9" t="s">
        <v>553</v>
      </c>
      <c r="E303" t="s">
        <v>50</v>
      </c>
      <c r="F303" t="s">
        <v>142</v>
      </c>
      <c r="G303" s="4">
        <v>7.17</v>
      </c>
      <c r="H303" s="4">
        <v>924.6</v>
      </c>
      <c r="I303" s="4">
        <v>615.9</v>
      </c>
      <c r="J303" s="4">
        <v>28.7</v>
      </c>
      <c r="K303" s="4">
        <v>56.81</v>
      </c>
      <c r="L303" s="4">
        <v>18.95</v>
      </c>
      <c r="M303" s="4">
        <v>81.290000000000006</v>
      </c>
      <c r="N303" s="4">
        <v>8.52</v>
      </c>
      <c r="O303" s="4">
        <v>198.31</v>
      </c>
      <c r="P303" s="4">
        <v>97.42</v>
      </c>
      <c r="Q303" s="4">
        <v>71.37</v>
      </c>
      <c r="R303" s="4">
        <v>21.5</v>
      </c>
      <c r="S303" s="4">
        <v>0.8</v>
      </c>
      <c r="T303" s="4">
        <v>-3.29</v>
      </c>
      <c r="U303" s="4">
        <v>-19.46</v>
      </c>
      <c r="V303" s="4">
        <v>0.224</v>
      </c>
      <c r="W303" s="4">
        <v>53.9</v>
      </c>
      <c r="X303" s="4">
        <v>-0.7</v>
      </c>
      <c r="Y303" s="4">
        <v>-0.66</v>
      </c>
      <c r="Z303" s="4">
        <v>-0.48</v>
      </c>
      <c r="AA303" s="4">
        <v>-4.72</v>
      </c>
      <c r="AB303" s="4">
        <f t="shared" si="20"/>
        <v>8.1482746679340163</v>
      </c>
      <c r="AC303" s="4">
        <f t="shared" si="21"/>
        <v>7.8727972502507493</v>
      </c>
      <c r="AD303" s="4">
        <f t="shared" si="22"/>
        <v>1.7194693282075937</v>
      </c>
      <c r="AE303" s="4">
        <f t="shared" si="23"/>
        <v>2.3855367734290001</v>
      </c>
      <c r="AF303">
        <f t="shared" si="24"/>
        <v>46.070525208586069</v>
      </c>
      <c r="AG303" t="s">
        <v>637</v>
      </c>
      <c r="AH303" t="s">
        <v>48</v>
      </c>
      <c r="AI303" t="s">
        <v>487</v>
      </c>
      <c r="AJ303" t="s">
        <v>488</v>
      </c>
    </row>
    <row r="304" spans="1:36" x14ac:dyDescent="0.3">
      <c r="A304" t="s">
        <v>848</v>
      </c>
      <c r="B304" t="s">
        <v>434</v>
      </c>
      <c r="C304" t="s">
        <v>484</v>
      </c>
      <c r="D304" s="9" t="s">
        <v>551</v>
      </c>
      <c r="E304" t="s">
        <v>50</v>
      </c>
      <c r="F304" t="s">
        <v>75</v>
      </c>
      <c r="G304" s="4">
        <v>7.21</v>
      </c>
      <c r="H304" s="4">
        <v>605.29999999999995</v>
      </c>
      <c r="I304" s="4">
        <v>387.5</v>
      </c>
      <c r="J304" s="4">
        <v>27.8</v>
      </c>
      <c r="K304" s="4">
        <v>33.76</v>
      </c>
      <c r="L304" s="4">
        <v>12.9</v>
      </c>
      <c r="M304" s="4">
        <v>42.35</v>
      </c>
      <c r="N304" s="4">
        <v>4.33</v>
      </c>
      <c r="O304" s="4">
        <v>136.71</v>
      </c>
      <c r="P304" s="4">
        <v>43.49</v>
      </c>
      <c r="Q304" s="4">
        <v>38.99</v>
      </c>
      <c r="R304" s="4">
        <v>10.08</v>
      </c>
      <c r="S304" s="4">
        <v>0.57999999999999996</v>
      </c>
      <c r="T304" s="4">
        <v>-4.1100000000000003</v>
      </c>
      <c r="U304" s="4">
        <v>-26.75</v>
      </c>
      <c r="V304" s="4">
        <v>0.28599999999999998</v>
      </c>
      <c r="W304" s="4">
        <v>44.4</v>
      </c>
      <c r="X304" s="4">
        <v>-0.97</v>
      </c>
      <c r="Y304" s="4">
        <v>-1.22</v>
      </c>
      <c r="Z304" s="4">
        <v>-1.41</v>
      </c>
      <c r="AA304" s="4">
        <v>-5.09</v>
      </c>
      <c r="AB304" s="4">
        <f t="shared" si="20"/>
        <v>4.6991575293187822</v>
      </c>
      <c r="AC304" s="4">
        <f t="shared" si="21"/>
        <v>4.4721359780564747</v>
      </c>
      <c r="AD304" s="4">
        <f t="shared" si="22"/>
        <v>2.475349317735215</v>
      </c>
      <c r="AE304" s="4">
        <f t="shared" si="23"/>
        <v>1.5721004468663402</v>
      </c>
      <c r="AF304">
        <f t="shared" si="24"/>
        <v>41.559209999561965</v>
      </c>
      <c r="AG304" t="s">
        <v>492</v>
      </c>
      <c r="AH304" t="s">
        <v>500</v>
      </c>
      <c r="AI304" t="s">
        <v>487</v>
      </c>
      <c r="AJ304" t="s">
        <v>488</v>
      </c>
    </row>
    <row r="305" spans="1:36" x14ac:dyDescent="0.3">
      <c r="A305" t="s">
        <v>849</v>
      </c>
      <c r="B305" t="s">
        <v>434</v>
      </c>
      <c r="C305" t="s">
        <v>490</v>
      </c>
      <c r="D305" s="9" t="s">
        <v>541</v>
      </c>
      <c r="E305" t="s">
        <v>50</v>
      </c>
      <c r="F305" t="s">
        <v>75</v>
      </c>
      <c r="G305" s="4">
        <v>7.04</v>
      </c>
      <c r="H305" s="4">
        <v>763.2</v>
      </c>
      <c r="I305" s="4">
        <v>460.8</v>
      </c>
      <c r="J305" s="4">
        <v>29.2</v>
      </c>
      <c r="K305" s="4">
        <v>49.14</v>
      </c>
      <c r="L305" s="4">
        <v>10.52</v>
      </c>
      <c r="M305" s="4">
        <v>49.86</v>
      </c>
      <c r="N305" s="4">
        <v>6.92</v>
      </c>
      <c r="O305" s="4">
        <v>155.16999999999999</v>
      </c>
      <c r="P305" s="4">
        <v>66.81</v>
      </c>
      <c r="Q305" s="4">
        <v>51.87</v>
      </c>
      <c r="R305" s="4">
        <v>17.95</v>
      </c>
      <c r="S305" s="4">
        <v>0.33</v>
      </c>
      <c r="T305" s="4">
        <v>-3.32</v>
      </c>
      <c r="U305" s="4">
        <v>-22.19</v>
      </c>
      <c r="V305" s="4">
        <v>0.23100000000000001</v>
      </c>
      <c r="W305" s="4">
        <v>41</v>
      </c>
      <c r="X305" s="4">
        <v>-0.36</v>
      </c>
      <c r="Y305" s="4">
        <v>-0.94</v>
      </c>
      <c r="Z305" s="4">
        <v>-1.21</v>
      </c>
      <c r="AA305" s="4">
        <v>-5.03</v>
      </c>
      <c r="AB305" s="4">
        <f t="shared" si="20"/>
        <v>5.6637381953653794</v>
      </c>
      <c r="AC305" s="4">
        <f t="shared" si="21"/>
        <v>5.814383737540763</v>
      </c>
      <c r="AD305" s="4">
        <f t="shared" si="22"/>
        <v>-1.3124581099239265</v>
      </c>
      <c r="AE305" s="4">
        <f t="shared" si="23"/>
        <v>1.6839012289444686</v>
      </c>
      <c r="AF305">
        <f t="shared" si="24"/>
        <v>41.418837505583163</v>
      </c>
      <c r="AG305" t="s">
        <v>497</v>
      </c>
      <c r="AH305" t="s">
        <v>48</v>
      </c>
      <c r="AI305" t="s">
        <v>487</v>
      </c>
      <c r="AJ305" t="s">
        <v>488</v>
      </c>
    </row>
    <row r="306" spans="1:36" x14ac:dyDescent="0.3">
      <c r="A306" t="s">
        <v>850</v>
      </c>
      <c r="B306" t="s">
        <v>435</v>
      </c>
      <c r="C306" t="s">
        <v>484</v>
      </c>
      <c r="D306" s="9" t="s">
        <v>524</v>
      </c>
      <c r="E306" t="s">
        <v>50</v>
      </c>
      <c r="F306" t="s">
        <v>142</v>
      </c>
      <c r="G306" s="4">
        <v>6.69</v>
      </c>
      <c r="H306" s="4">
        <v>511.6</v>
      </c>
      <c r="I306" s="4">
        <v>366.7</v>
      </c>
      <c r="J306" s="4">
        <v>28.9</v>
      </c>
      <c r="K306" s="4">
        <v>36.9</v>
      </c>
      <c r="L306" s="4">
        <v>12.67</v>
      </c>
      <c r="M306" s="4">
        <v>29</v>
      </c>
      <c r="N306" s="4">
        <v>4.78</v>
      </c>
      <c r="O306" s="4">
        <v>125.33</v>
      </c>
      <c r="P306" s="4">
        <v>41.14</v>
      </c>
      <c r="Q306" s="4">
        <v>30.92</v>
      </c>
      <c r="R306" s="4">
        <v>26.14</v>
      </c>
      <c r="S306" s="4">
        <v>0.57999999999999996</v>
      </c>
      <c r="T306" s="4">
        <v>-4.5</v>
      </c>
      <c r="U306" s="4">
        <v>-29.15</v>
      </c>
      <c r="V306" s="4">
        <v>0.16</v>
      </c>
      <c r="W306" s="4">
        <v>50.1</v>
      </c>
      <c r="X306" s="4">
        <v>-0.41</v>
      </c>
      <c r="Y306" s="4">
        <v>-0.09</v>
      </c>
      <c r="Z306" s="4">
        <v>-1.57</v>
      </c>
      <c r="AA306" s="4">
        <v>-5.51</v>
      </c>
      <c r="AB306" s="4">
        <f t="shared" si="20"/>
        <v>4.2677228537150498</v>
      </c>
      <c r="AC306" s="4">
        <f t="shared" si="21"/>
        <v>4.310334380902896</v>
      </c>
      <c r="AD306" s="4">
        <f t="shared" si="22"/>
        <v>-0.49675032495564919</v>
      </c>
      <c r="AE306" s="4">
        <f t="shared" si="23"/>
        <v>1.0504993990046485</v>
      </c>
      <c r="AF306">
        <f t="shared" si="24"/>
        <v>32.423140365459297</v>
      </c>
      <c r="AG306" t="s">
        <v>486</v>
      </c>
      <c r="AH306" t="s">
        <v>48</v>
      </c>
      <c r="AI306" t="s">
        <v>487</v>
      </c>
      <c r="AJ306" t="s">
        <v>488</v>
      </c>
    </row>
    <row r="307" spans="1:36" x14ac:dyDescent="0.3">
      <c r="A307" t="s">
        <v>851</v>
      </c>
      <c r="B307" t="s">
        <v>435</v>
      </c>
      <c r="C307" t="s">
        <v>490</v>
      </c>
      <c r="D307" s="9" t="s">
        <v>588</v>
      </c>
      <c r="E307" t="s">
        <v>50</v>
      </c>
      <c r="F307" t="s">
        <v>142</v>
      </c>
      <c r="G307" s="4">
        <v>6.8</v>
      </c>
      <c r="H307" s="4">
        <v>889.7</v>
      </c>
      <c r="I307" s="4">
        <v>505.8</v>
      </c>
      <c r="J307" s="4">
        <v>28.8</v>
      </c>
      <c r="K307" s="4">
        <v>52.73</v>
      </c>
      <c r="L307" s="4">
        <v>18.5</v>
      </c>
      <c r="M307" s="4">
        <v>51.59</v>
      </c>
      <c r="N307" s="4">
        <v>7.32</v>
      </c>
      <c r="O307" s="4">
        <v>136.63</v>
      </c>
      <c r="P307" s="4">
        <v>80.430000000000007</v>
      </c>
      <c r="Q307" s="4">
        <v>61.91</v>
      </c>
      <c r="R307" s="4">
        <v>44.63</v>
      </c>
      <c r="S307" s="4">
        <v>0.3</v>
      </c>
      <c r="T307" s="4">
        <v>-3.51</v>
      </c>
      <c r="U307" s="4">
        <v>-25.65</v>
      </c>
      <c r="V307" s="4">
        <v>0.17</v>
      </c>
      <c r="W307" s="4">
        <v>51</v>
      </c>
      <c r="X307" s="4">
        <v>0.18</v>
      </c>
      <c r="Y307" s="4">
        <v>-0.17</v>
      </c>
      <c r="Z307" s="4">
        <v>-0.81</v>
      </c>
      <c r="AA307" s="4">
        <v>-4.84</v>
      </c>
      <c r="AB307" s="4">
        <f t="shared" si="20"/>
        <v>6.5850279452331053</v>
      </c>
      <c r="AC307" s="4">
        <f t="shared" si="21"/>
        <v>6.5324450824944629</v>
      </c>
      <c r="AD307" s="4">
        <f t="shared" si="22"/>
        <v>0.40086122248922001</v>
      </c>
      <c r="AE307" s="4">
        <f t="shared" si="23"/>
        <v>1.5571965734719619</v>
      </c>
      <c r="AF307">
        <f t="shared" si="24"/>
        <v>36.922221507504453</v>
      </c>
      <c r="AG307" t="s">
        <v>632</v>
      </c>
      <c r="AH307" t="s">
        <v>48</v>
      </c>
      <c r="AI307" t="s">
        <v>487</v>
      </c>
      <c r="AJ307" t="s">
        <v>488</v>
      </c>
    </row>
    <row r="308" spans="1:36" x14ac:dyDescent="0.3">
      <c r="A308" t="s">
        <v>852</v>
      </c>
      <c r="B308" t="s">
        <v>437</v>
      </c>
      <c r="C308" t="s">
        <v>484</v>
      </c>
      <c r="D308" s="9" t="s">
        <v>565</v>
      </c>
      <c r="E308" t="s">
        <v>50</v>
      </c>
      <c r="F308" t="s">
        <v>277</v>
      </c>
      <c r="G308" s="4">
        <v>7.18</v>
      </c>
      <c r="H308" s="4">
        <v>574.70000000000005</v>
      </c>
      <c r="I308" s="4">
        <v>409.3</v>
      </c>
      <c r="J308" s="4">
        <v>28.6</v>
      </c>
      <c r="K308" s="4">
        <v>31.81</v>
      </c>
      <c r="L308" s="4">
        <v>15.74</v>
      </c>
      <c r="M308" s="4">
        <v>39.51</v>
      </c>
      <c r="N308" s="4">
        <v>3.92</v>
      </c>
      <c r="O308" s="4">
        <v>140.91</v>
      </c>
      <c r="P308" s="4">
        <v>57.67</v>
      </c>
      <c r="Q308" s="4">
        <v>28.8</v>
      </c>
      <c r="R308" s="4">
        <v>21.17</v>
      </c>
      <c r="S308" s="4">
        <v>0.46</v>
      </c>
      <c r="T308" s="4">
        <v>-3.49</v>
      </c>
      <c r="U308" s="4">
        <v>-22.54</v>
      </c>
      <c r="V308" s="4">
        <v>0.11899999999999999</v>
      </c>
      <c r="W308" s="4">
        <v>72.7</v>
      </c>
      <c r="X308" s="4">
        <v>-0.33</v>
      </c>
      <c r="Y308" s="4">
        <v>-0.8</v>
      </c>
      <c r="Z308" s="4">
        <v>-1.43</v>
      </c>
      <c r="AA308" s="4">
        <v>-5.14</v>
      </c>
      <c r="AB308" s="4">
        <f t="shared" si="20"/>
        <v>4.7015202406652019</v>
      </c>
      <c r="AC308" s="4">
        <f t="shared" si="21"/>
        <v>4.9013178451873047</v>
      </c>
      <c r="AD308" s="4">
        <f t="shared" si="22"/>
        <v>-2.0806099481824751</v>
      </c>
      <c r="AE308" s="4">
        <f t="shared" si="23"/>
        <v>1.4315578546949099</v>
      </c>
      <c r="AF308">
        <f t="shared" si="24"/>
        <v>38.687676301893482</v>
      </c>
      <c r="AG308" t="s">
        <v>492</v>
      </c>
      <c r="AH308" t="s">
        <v>48</v>
      </c>
      <c r="AI308" t="s">
        <v>487</v>
      </c>
      <c r="AJ308" t="s">
        <v>488</v>
      </c>
    </row>
    <row r="309" spans="1:36" x14ac:dyDescent="0.3">
      <c r="A309" t="s">
        <v>853</v>
      </c>
      <c r="B309" t="s">
        <v>437</v>
      </c>
      <c r="C309" t="s">
        <v>490</v>
      </c>
      <c r="D309" s="9" t="s">
        <v>532</v>
      </c>
      <c r="E309" t="s">
        <v>50</v>
      </c>
      <c r="F309" t="s">
        <v>277</v>
      </c>
      <c r="G309" s="4">
        <v>6.73</v>
      </c>
      <c r="H309" s="4">
        <v>767.7</v>
      </c>
      <c r="I309" s="4">
        <v>537.9</v>
      </c>
      <c r="J309" s="4">
        <v>30.1</v>
      </c>
      <c r="K309" s="4">
        <v>54.55</v>
      </c>
      <c r="L309" s="4">
        <v>20.52</v>
      </c>
      <c r="M309" s="4">
        <v>45.8</v>
      </c>
      <c r="N309" s="4">
        <v>6.73</v>
      </c>
      <c r="O309" s="4">
        <v>176.6</v>
      </c>
      <c r="P309" s="4">
        <v>76.540000000000006</v>
      </c>
      <c r="Q309" s="4">
        <v>46.96</v>
      </c>
      <c r="R309" s="4">
        <v>29.91</v>
      </c>
      <c r="S309" s="4">
        <v>1.02</v>
      </c>
      <c r="T309" s="4">
        <v>-2.68</v>
      </c>
      <c r="U309" s="4">
        <v>-18.690000000000001</v>
      </c>
      <c r="V309" s="4">
        <v>0.221</v>
      </c>
      <c r="W309" s="4">
        <v>64.7</v>
      </c>
      <c r="X309" s="4">
        <v>-0.08</v>
      </c>
      <c r="Y309" s="4">
        <v>-0.6</v>
      </c>
      <c r="Z309" s="4">
        <v>-0.69</v>
      </c>
      <c r="AA309" s="4">
        <v>-4.75</v>
      </c>
      <c r="AB309" s="4">
        <f t="shared" si="20"/>
        <v>6.5751219118130768</v>
      </c>
      <c r="AC309" s="4">
        <f t="shared" si="21"/>
        <v>6.567030770106367</v>
      </c>
      <c r="AD309" s="4">
        <f t="shared" si="22"/>
        <v>6.1566334698282002E-2</v>
      </c>
      <c r="AE309" s="4">
        <f t="shared" si="23"/>
        <v>1.3415442504090234</v>
      </c>
      <c r="AF309">
        <f t="shared" si="24"/>
        <v>32.917849468530356</v>
      </c>
      <c r="AG309" t="s">
        <v>486</v>
      </c>
      <c r="AH309" t="s">
        <v>48</v>
      </c>
      <c r="AI309" t="s">
        <v>487</v>
      </c>
      <c r="AJ309" t="s">
        <v>488</v>
      </c>
    </row>
    <row r="310" spans="1:36" x14ac:dyDescent="0.3">
      <c r="A310" t="s">
        <v>854</v>
      </c>
      <c r="B310" t="s">
        <v>439</v>
      </c>
      <c r="C310" t="s">
        <v>484</v>
      </c>
      <c r="D310" s="9" t="s">
        <v>494</v>
      </c>
      <c r="E310" t="s">
        <v>50</v>
      </c>
      <c r="F310" t="s">
        <v>277</v>
      </c>
      <c r="G310" s="4">
        <v>6.95</v>
      </c>
      <c r="H310" s="4">
        <v>570.20000000000005</v>
      </c>
      <c r="I310" s="4">
        <v>353.6</v>
      </c>
      <c r="J310" s="4">
        <v>28.3</v>
      </c>
      <c r="K310" s="4">
        <v>35.630000000000003</v>
      </c>
      <c r="L310" s="4">
        <v>11.28</v>
      </c>
      <c r="M310" s="4">
        <v>25.25</v>
      </c>
      <c r="N310" s="4">
        <v>3.85</v>
      </c>
      <c r="O310" s="4">
        <v>114.51</v>
      </c>
      <c r="P310" s="4">
        <v>38.03</v>
      </c>
      <c r="Q310" s="4">
        <v>27.72</v>
      </c>
      <c r="R310" s="4">
        <v>27.59</v>
      </c>
      <c r="S310" s="4">
        <v>0.53</v>
      </c>
      <c r="T310" s="4">
        <v>-3.8</v>
      </c>
      <c r="U310" s="4">
        <v>-25.86</v>
      </c>
      <c r="V310" s="4">
        <v>0.13100000000000001</v>
      </c>
      <c r="W310" s="4">
        <v>52</v>
      </c>
      <c r="X310" s="4">
        <v>-0.26</v>
      </c>
      <c r="Y310" s="4">
        <v>-0.36</v>
      </c>
      <c r="Z310" s="4">
        <v>-1.2</v>
      </c>
      <c r="AA310" s="4">
        <v>-5.01</v>
      </c>
      <c r="AB310" s="4">
        <f t="shared" si="20"/>
        <v>3.9030588046515429</v>
      </c>
      <c r="AC310" s="4">
        <f t="shared" si="21"/>
        <v>3.999410438737542</v>
      </c>
      <c r="AD310" s="4">
        <f t="shared" si="22"/>
        <v>-1.219259842948498</v>
      </c>
      <c r="AE310" s="4">
        <f t="shared" si="23"/>
        <v>0.94422043125395727</v>
      </c>
      <c r="AF310">
        <f t="shared" si="24"/>
        <v>30.663691103485036</v>
      </c>
      <c r="AG310" t="s">
        <v>486</v>
      </c>
      <c r="AH310" t="s">
        <v>48</v>
      </c>
      <c r="AI310" t="s">
        <v>487</v>
      </c>
      <c r="AJ310" t="s">
        <v>488</v>
      </c>
    </row>
    <row r="311" spans="1:36" x14ac:dyDescent="0.3">
      <c r="A311" t="s">
        <v>855</v>
      </c>
      <c r="B311" t="s">
        <v>439</v>
      </c>
      <c r="C311" t="s">
        <v>490</v>
      </c>
      <c r="D311" s="9" t="s">
        <v>496</v>
      </c>
      <c r="E311" t="s">
        <v>50</v>
      </c>
      <c r="F311" t="s">
        <v>277</v>
      </c>
      <c r="G311" s="4">
        <v>6.89</v>
      </c>
      <c r="H311" s="4">
        <v>908.3</v>
      </c>
      <c r="I311" s="4">
        <v>602</v>
      </c>
      <c r="J311" s="4">
        <v>30.4</v>
      </c>
      <c r="K311" s="4">
        <v>54.48</v>
      </c>
      <c r="L311" s="4">
        <v>19.829999999999998</v>
      </c>
      <c r="M311" s="4">
        <v>60.39</v>
      </c>
      <c r="N311" s="4">
        <v>6.84</v>
      </c>
      <c r="O311" s="4">
        <v>192.37</v>
      </c>
      <c r="P311" s="4">
        <v>80.64</v>
      </c>
      <c r="Q311" s="4">
        <v>43.58</v>
      </c>
      <c r="R311" s="4">
        <v>64.56</v>
      </c>
      <c r="S311" s="4">
        <v>1.18</v>
      </c>
      <c r="T311" s="4">
        <v>-3.07</v>
      </c>
      <c r="U311" s="4">
        <v>-21.39</v>
      </c>
      <c r="V311" s="4">
        <v>0.22900000000000001</v>
      </c>
      <c r="W311" s="4">
        <v>64.400000000000006</v>
      </c>
      <c r="X311" s="4">
        <v>0.02</v>
      </c>
      <c r="Y311" s="4">
        <v>-0.01</v>
      </c>
      <c r="Z311" s="4">
        <v>-0.53</v>
      </c>
      <c r="AA311" s="4">
        <v>-5.24</v>
      </c>
      <c r="AB311" s="4">
        <f t="shared" si="20"/>
        <v>7.1523150810188953</v>
      </c>
      <c r="AC311" s="4">
        <f t="shared" si="21"/>
        <v>7.4380096927566806</v>
      </c>
      <c r="AD311" s="4">
        <f t="shared" si="22"/>
        <v>-1.9581100226863235</v>
      </c>
      <c r="AE311" s="4">
        <f t="shared" si="23"/>
        <v>1.7811163070590428</v>
      </c>
      <c r="AF311">
        <f t="shared" si="24"/>
        <v>39.174078598374336</v>
      </c>
      <c r="AG311" t="s">
        <v>492</v>
      </c>
      <c r="AH311" t="s">
        <v>506</v>
      </c>
      <c r="AI311" t="s">
        <v>487</v>
      </c>
      <c r="AJ311" t="s">
        <v>488</v>
      </c>
    </row>
    <row r="312" spans="1:36" x14ac:dyDescent="0.3">
      <c r="A312" t="s">
        <v>856</v>
      </c>
      <c r="B312" t="s">
        <v>441</v>
      </c>
      <c r="C312" t="s">
        <v>484</v>
      </c>
      <c r="D312" s="9" t="s">
        <v>621</v>
      </c>
      <c r="E312" t="s">
        <v>50</v>
      </c>
      <c r="F312" t="s">
        <v>277</v>
      </c>
      <c r="G312" s="4">
        <v>7.27</v>
      </c>
      <c r="H312" s="4">
        <v>635.20000000000005</v>
      </c>
      <c r="I312" s="4">
        <v>382.6</v>
      </c>
      <c r="J312" s="4">
        <v>28.9</v>
      </c>
      <c r="K312" s="4">
        <v>34.450000000000003</v>
      </c>
      <c r="L312" s="4">
        <v>13.34</v>
      </c>
      <c r="M312" s="4">
        <v>38.42</v>
      </c>
      <c r="N312" s="4">
        <v>4.83</v>
      </c>
      <c r="O312" s="4">
        <v>138.75</v>
      </c>
      <c r="P312" s="4">
        <v>53.53</v>
      </c>
      <c r="Q312" s="4">
        <v>23.47</v>
      </c>
      <c r="R312" s="4">
        <v>24.62</v>
      </c>
      <c r="S312" s="4">
        <v>1.1200000000000001</v>
      </c>
      <c r="T312" s="4">
        <v>-3.83</v>
      </c>
      <c r="U312" s="4">
        <v>-24.13</v>
      </c>
      <c r="V312" s="4">
        <v>0.19400000000000001</v>
      </c>
      <c r="W312" s="4">
        <v>44.9</v>
      </c>
      <c r="X312" s="4">
        <v>0.11</v>
      </c>
      <c r="Y312" s="4">
        <v>-0.27</v>
      </c>
      <c r="Z312" s="4">
        <v>-1.03</v>
      </c>
      <c r="AA312" s="4">
        <v>-4.3600000000000003</v>
      </c>
      <c r="AB312" s="4">
        <f t="shared" si="20"/>
        <v>4.6116339804891524</v>
      </c>
      <c r="AC312" s="4">
        <f t="shared" si="21"/>
        <v>4.7285519274815844</v>
      </c>
      <c r="AD312" s="4">
        <f t="shared" si="22"/>
        <v>-1.2517732317582289</v>
      </c>
      <c r="AE312" s="4">
        <f t="shared" si="23"/>
        <v>1.4082161619644056</v>
      </c>
      <c r="AF312">
        <f t="shared" si="24"/>
        <v>38.918305459382374</v>
      </c>
      <c r="AG312" t="s">
        <v>492</v>
      </c>
      <c r="AH312" t="s">
        <v>48</v>
      </c>
      <c r="AI312" t="s">
        <v>487</v>
      </c>
      <c r="AJ312" t="s">
        <v>488</v>
      </c>
    </row>
    <row r="313" spans="1:36" x14ac:dyDescent="0.3">
      <c r="A313" t="s">
        <v>857</v>
      </c>
      <c r="B313" t="s">
        <v>441</v>
      </c>
      <c r="C313" t="s">
        <v>490</v>
      </c>
      <c r="D313" s="9" t="s">
        <v>597</v>
      </c>
      <c r="E313" t="s">
        <v>50</v>
      </c>
      <c r="F313" t="s">
        <v>277</v>
      </c>
      <c r="G313" s="4">
        <v>7.33</v>
      </c>
      <c r="H313" s="4">
        <v>842.4</v>
      </c>
      <c r="I313" s="4">
        <v>537.29999999999995</v>
      </c>
      <c r="J313" s="4">
        <v>29.3</v>
      </c>
      <c r="K313" s="4">
        <v>53.09</v>
      </c>
      <c r="L313" s="4">
        <v>15.98</v>
      </c>
      <c r="M313" s="4">
        <v>56.75</v>
      </c>
      <c r="N313" s="4">
        <v>6.73</v>
      </c>
      <c r="O313" s="4">
        <v>206.59</v>
      </c>
      <c r="P313" s="4">
        <v>71</v>
      </c>
      <c r="Q313" s="4">
        <v>33.61</v>
      </c>
      <c r="R313" s="4">
        <v>22.17</v>
      </c>
      <c r="S313" s="4">
        <v>1.99</v>
      </c>
      <c r="T313" s="4">
        <v>-2.94</v>
      </c>
      <c r="U313" s="4">
        <v>-18.899999999999999</v>
      </c>
      <c r="V313" s="4">
        <v>0.188</v>
      </c>
      <c r="W313" s="4">
        <v>55.7</v>
      </c>
      <c r="X313" s="4">
        <v>-0.37</v>
      </c>
      <c r="Y313" s="4">
        <v>-0.95</v>
      </c>
      <c r="Z313" s="4">
        <v>-0.88</v>
      </c>
      <c r="AA313" s="4">
        <v>-4.33</v>
      </c>
      <c r="AB313" s="4">
        <f t="shared" si="20"/>
        <v>6.6049930620450406</v>
      </c>
      <c r="AC313" s="4">
        <f t="shared" si="21"/>
        <v>6.550555853355859</v>
      </c>
      <c r="AD313" s="4">
        <f t="shared" si="22"/>
        <v>0.41379655869359561</v>
      </c>
      <c r="AE313" s="4">
        <f t="shared" si="23"/>
        <v>1.7533882768067983</v>
      </c>
      <c r="AF313">
        <f t="shared" si="24"/>
        <v>39.980412813909062</v>
      </c>
      <c r="AG313" t="s">
        <v>497</v>
      </c>
      <c r="AH313" t="s">
        <v>48</v>
      </c>
      <c r="AI313" t="s">
        <v>487</v>
      </c>
      <c r="AJ313" t="s">
        <v>488</v>
      </c>
    </row>
    <row r="314" spans="1:36" x14ac:dyDescent="0.3">
      <c r="A314" t="s">
        <v>858</v>
      </c>
      <c r="B314" t="s">
        <v>444</v>
      </c>
      <c r="C314" t="s">
        <v>484</v>
      </c>
      <c r="D314" s="9" t="s">
        <v>662</v>
      </c>
      <c r="E314" t="s">
        <v>50</v>
      </c>
      <c r="F314" t="s">
        <v>142</v>
      </c>
      <c r="G314" s="4">
        <v>6.59</v>
      </c>
      <c r="H314" s="4">
        <v>488.3</v>
      </c>
      <c r="I314" s="4">
        <v>347.3</v>
      </c>
      <c r="J314" s="4">
        <v>29.1</v>
      </c>
      <c r="K314" s="4">
        <v>29.69</v>
      </c>
      <c r="L314" s="4">
        <v>10.4</v>
      </c>
      <c r="M314" s="4">
        <v>35.56</v>
      </c>
      <c r="N314" s="4">
        <v>3.26</v>
      </c>
      <c r="O314" s="4">
        <v>99.17</v>
      </c>
      <c r="P314" s="4">
        <v>35.130000000000003</v>
      </c>
      <c r="Q314" s="4">
        <v>26.35</v>
      </c>
      <c r="R314" s="4">
        <v>53.14</v>
      </c>
      <c r="S314" s="4">
        <v>0.28000000000000003</v>
      </c>
      <c r="T314" s="4">
        <v>-3.62</v>
      </c>
      <c r="U314" s="4">
        <v>-21.52</v>
      </c>
      <c r="V314" s="4">
        <v>0.187</v>
      </c>
      <c r="W314" s="4">
        <v>45.6</v>
      </c>
      <c r="X314" s="4">
        <v>-0.08</v>
      </c>
      <c r="Y314" s="4">
        <v>-0.03</v>
      </c>
      <c r="Z314" s="4">
        <v>-1.22</v>
      </c>
      <c r="AA314" s="4">
        <v>-5.14</v>
      </c>
      <c r="AB314" s="4">
        <f t="shared" si="20"/>
        <v>3.9676088156110243</v>
      </c>
      <c r="AC314" s="4">
        <f t="shared" si="21"/>
        <v>4.036583623637692</v>
      </c>
      <c r="AD314" s="4">
        <f t="shared" si="22"/>
        <v>-0.86173350466248577</v>
      </c>
      <c r="AE314" s="4">
        <f t="shared" si="23"/>
        <v>1.4308363946148508</v>
      </c>
      <c r="AF314">
        <f t="shared" si="24"/>
        <v>41.087895582426384</v>
      </c>
      <c r="AG314" t="s">
        <v>492</v>
      </c>
      <c r="AH314" t="s">
        <v>506</v>
      </c>
      <c r="AI314" t="s">
        <v>487</v>
      </c>
      <c r="AJ314" t="s">
        <v>488</v>
      </c>
    </row>
    <row r="315" spans="1:36" x14ac:dyDescent="0.3">
      <c r="A315" t="s">
        <v>859</v>
      </c>
      <c r="B315" t="s">
        <v>444</v>
      </c>
      <c r="C315" t="s">
        <v>490</v>
      </c>
      <c r="D315" s="9" t="s">
        <v>588</v>
      </c>
      <c r="E315" t="s">
        <v>50</v>
      </c>
      <c r="F315" t="s">
        <v>142</v>
      </c>
      <c r="G315" s="4">
        <v>6.71</v>
      </c>
      <c r="H315" s="4">
        <v>943.8</v>
      </c>
      <c r="I315" s="4">
        <v>569.5</v>
      </c>
      <c r="J315" s="4">
        <v>29.1</v>
      </c>
      <c r="K315" s="4">
        <v>49.52</v>
      </c>
      <c r="L315" s="4">
        <v>20.51</v>
      </c>
      <c r="M315" s="4">
        <v>57.77</v>
      </c>
      <c r="N315" s="4">
        <v>7.68</v>
      </c>
      <c r="O315" s="4">
        <v>168.38</v>
      </c>
      <c r="P315" s="4">
        <v>83.19</v>
      </c>
      <c r="Q315" s="4">
        <v>66.28</v>
      </c>
      <c r="R315" s="4">
        <v>50.06</v>
      </c>
      <c r="S315" s="4">
        <v>0.65</v>
      </c>
      <c r="T315" s="4">
        <v>-3.19</v>
      </c>
      <c r="U315" s="4">
        <v>-21.81</v>
      </c>
      <c r="V315" s="4">
        <v>0.13800000000000001</v>
      </c>
      <c r="W315" s="4">
        <v>57.2</v>
      </c>
      <c r="X315" s="4">
        <v>-0.08</v>
      </c>
      <c r="Y315" s="4">
        <v>-0.69</v>
      </c>
      <c r="Z315" s="4">
        <v>-0.4</v>
      </c>
      <c r="AA315" s="4">
        <v>-5.3</v>
      </c>
      <c r="AB315" s="4">
        <f t="shared" si="20"/>
        <v>6.8682702297443496</v>
      </c>
      <c r="AC315" s="4">
        <f t="shared" si="21"/>
        <v>7.3276314634926356</v>
      </c>
      <c r="AD315" s="4">
        <f t="shared" si="22"/>
        <v>-3.235872181103709</v>
      </c>
      <c r="AE315" s="4">
        <f t="shared" si="23"/>
        <v>1.7426415227605754</v>
      </c>
      <c r="AF315">
        <f t="shared" si="24"/>
        <v>39.447639158398289</v>
      </c>
      <c r="AG315" t="s">
        <v>606</v>
      </c>
      <c r="AH315" t="s">
        <v>506</v>
      </c>
      <c r="AI315" t="s">
        <v>487</v>
      </c>
      <c r="AJ315" t="s">
        <v>488</v>
      </c>
    </row>
    <row r="316" spans="1:36" x14ac:dyDescent="0.3">
      <c r="A316" t="s">
        <v>860</v>
      </c>
      <c r="B316" t="s">
        <v>446</v>
      </c>
      <c r="C316" t="s">
        <v>484</v>
      </c>
      <c r="D316" s="9" t="s">
        <v>570</v>
      </c>
      <c r="E316" t="s">
        <v>50</v>
      </c>
      <c r="F316" t="s">
        <v>101</v>
      </c>
      <c r="G316" s="4">
        <v>6.97</v>
      </c>
      <c r="H316" s="4">
        <v>607</v>
      </c>
      <c r="I316" s="4">
        <v>379.3</v>
      </c>
      <c r="J316" s="4">
        <v>28.1</v>
      </c>
      <c r="K316" s="4">
        <v>35.56</v>
      </c>
      <c r="L316" s="4">
        <v>10.08</v>
      </c>
      <c r="M316" s="4">
        <v>37.71</v>
      </c>
      <c r="N316" s="4">
        <v>4.74</v>
      </c>
      <c r="O316" s="4">
        <v>102.21</v>
      </c>
      <c r="P316" s="4">
        <v>61.19</v>
      </c>
      <c r="Q316" s="4">
        <v>27.19</v>
      </c>
      <c r="R316" s="4">
        <v>16.940000000000001</v>
      </c>
      <c r="S316" s="4">
        <v>0.47</v>
      </c>
      <c r="T316" s="4">
        <v>-4.3499999999999996</v>
      </c>
      <c r="U316" s="4">
        <v>-29.98</v>
      </c>
      <c r="V316" s="4">
        <v>0.22900000000000001</v>
      </c>
      <c r="W316" s="4">
        <v>65.3</v>
      </c>
      <c r="X316" s="4">
        <v>-0.08</v>
      </c>
      <c r="Y316" s="4">
        <v>-0.28000000000000003</v>
      </c>
      <c r="Z316" s="4">
        <v>-1.02</v>
      </c>
      <c r="AA316" s="4">
        <v>-4.03</v>
      </c>
      <c r="AB316" s="4">
        <f t="shared" si="20"/>
        <v>4.3655821619316111</v>
      </c>
      <c r="AC316" s="4">
        <f t="shared" si="21"/>
        <v>4.2651295982123365</v>
      </c>
      <c r="AD316" s="4">
        <f t="shared" si="22"/>
        <v>1.1638966346108073</v>
      </c>
      <c r="AE316" s="4">
        <f t="shared" si="23"/>
        <v>1.4375768688497175</v>
      </c>
      <c r="AF316">
        <f t="shared" si="24"/>
        <v>40.351629859217759</v>
      </c>
      <c r="AG316" t="s">
        <v>632</v>
      </c>
      <c r="AH316" t="s">
        <v>48</v>
      </c>
      <c r="AI316" t="s">
        <v>487</v>
      </c>
      <c r="AJ316" t="s">
        <v>488</v>
      </c>
    </row>
    <row r="317" spans="1:36" x14ac:dyDescent="0.3">
      <c r="A317" t="s">
        <v>861</v>
      </c>
      <c r="B317" t="s">
        <v>446</v>
      </c>
      <c r="C317" t="s">
        <v>490</v>
      </c>
      <c r="D317" s="9" t="s">
        <v>658</v>
      </c>
      <c r="E317" t="s">
        <v>50</v>
      </c>
      <c r="F317" t="s">
        <v>101</v>
      </c>
      <c r="G317" s="4">
        <v>6.65</v>
      </c>
      <c r="H317" s="4">
        <v>876.8</v>
      </c>
      <c r="I317" s="4">
        <v>495.1</v>
      </c>
      <c r="J317" s="4">
        <v>30.8</v>
      </c>
      <c r="K317" s="4">
        <v>51.85</v>
      </c>
      <c r="L317" s="4">
        <v>19.579999999999998</v>
      </c>
      <c r="M317" s="4">
        <v>51.16</v>
      </c>
      <c r="N317" s="4">
        <v>8.2799999999999994</v>
      </c>
      <c r="O317" s="4">
        <v>171.64</v>
      </c>
      <c r="P317" s="4">
        <v>72.38</v>
      </c>
      <c r="Q317" s="4">
        <v>44.37</v>
      </c>
      <c r="R317" s="4">
        <v>24.78</v>
      </c>
      <c r="S317" s="4">
        <v>0.79</v>
      </c>
      <c r="T317" s="4">
        <v>-2.98</v>
      </c>
      <c r="U317" s="4">
        <v>-17.11</v>
      </c>
      <c r="V317" s="4">
        <v>0.122</v>
      </c>
      <c r="W317" s="4">
        <v>52.3</v>
      </c>
      <c r="X317" s="4">
        <v>-0.47</v>
      </c>
      <c r="Y317" s="4">
        <v>-0.52</v>
      </c>
      <c r="Z317" s="4">
        <v>-1.4</v>
      </c>
      <c r="AA317" s="4">
        <v>-5.41</v>
      </c>
      <c r="AB317" s="4">
        <f t="shared" si="20"/>
        <v>6.6358332687647295</v>
      </c>
      <c r="AC317" s="4">
        <f t="shared" si="21"/>
        <v>6.2196356039295599</v>
      </c>
      <c r="AD317" s="4">
        <f t="shared" si="22"/>
        <v>3.237514469185919</v>
      </c>
      <c r="AE317" s="4">
        <f t="shared" si="23"/>
        <v>1.5359279568892856</v>
      </c>
      <c r="AF317">
        <f t="shared" si="24"/>
        <v>36.727681261996096</v>
      </c>
      <c r="AG317" t="s">
        <v>497</v>
      </c>
      <c r="AH317" t="s">
        <v>48</v>
      </c>
      <c r="AI317" t="s">
        <v>487</v>
      </c>
      <c r="AJ317" t="s">
        <v>488</v>
      </c>
    </row>
    <row r="318" spans="1:36" x14ac:dyDescent="0.3">
      <c r="A318" t="s">
        <v>862</v>
      </c>
      <c r="B318" t="s">
        <v>448</v>
      </c>
      <c r="C318" t="s">
        <v>484</v>
      </c>
      <c r="D318" s="9" t="s">
        <v>586</v>
      </c>
      <c r="E318" t="s">
        <v>50</v>
      </c>
      <c r="F318" t="s">
        <v>101</v>
      </c>
      <c r="G318" s="4">
        <v>7.26</v>
      </c>
      <c r="H318" s="4">
        <v>515.9</v>
      </c>
      <c r="I318" s="4">
        <v>359.2</v>
      </c>
      <c r="J318" s="4">
        <v>29.2</v>
      </c>
      <c r="K318" s="4">
        <v>26.97</v>
      </c>
      <c r="L318" s="4">
        <v>10.59</v>
      </c>
      <c r="M318" s="4">
        <v>35.74</v>
      </c>
      <c r="N318" s="4">
        <v>4.22</v>
      </c>
      <c r="O318" s="4">
        <v>103.43</v>
      </c>
      <c r="P318" s="4">
        <v>40.9</v>
      </c>
      <c r="Q318" s="4">
        <v>25.34</v>
      </c>
      <c r="R318" s="4">
        <v>33.44</v>
      </c>
      <c r="S318" s="4">
        <v>0.64</v>
      </c>
      <c r="T318" s="4">
        <v>-3.75</v>
      </c>
      <c r="U318" s="4">
        <v>-20.43</v>
      </c>
      <c r="V318" s="4">
        <v>0.158</v>
      </c>
      <c r="W318" s="4">
        <v>63.9</v>
      </c>
      <c r="X318" s="4">
        <v>-0.12</v>
      </c>
      <c r="Y318" s="4">
        <v>-0.28000000000000003</v>
      </c>
      <c r="Z318" s="4">
        <v>-1.4</v>
      </c>
      <c r="AA318" s="4">
        <v>-4.7699999999999996</v>
      </c>
      <c r="AB318" s="4">
        <f t="shared" si="20"/>
        <v>3.8798916598241768</v>
      </c>
      <c r="AC318" s="4">
        <f t="shared" si="21"/>
        <v>3.9493560740083296</v>
      </c>
      <c r="AD318" s="4">
        <f t="shared" si="22"/>
        <v>-0.88724251097556084</v>
      </c>
      <c r="AE318" s="4">
        <f t="shared" si="23"/>
        <v>1.4765124800068772</v>
      </c>
      <c r="AF318">
        <f t="shared" si="24"/>
        <v>42.851466750024699</v>
      </c>
      <c r="AG318" t="s">
        <v>492</v>
      </c>
      <c r="AH318" t="s">
        <v>48</v>
      </c>
      <c r="AI318" t="s">
        <v>487</v>
      </c>
      <c r="AJ318" t="s">
        <v>488</v>
      </c>
    </row>
    <row r="319" spans="1:36" x14ac:dyDescent="0.3">
      <c r="A319" t="s">
        <v>863</v>
      </c>
      <c r="B319" t="s">
        <v>448</v>
      </c>
      <c r="C319" t="s">
        <v>490</v>
      </c>
      <c r="D319" s="9" t="s">
        <v>572</v>
      </c>
      <c r="E319" t="s">
        <v>50</v>
      </c>
      <c r="F319" t="s">
        <v>101</v>
      </c>
      <c r="G319" s="4">
        <v>6.8</v>
      </c>
      <c r="H319" s="4">
        <v>811.7</v>
      </c>
      <c r="I319" s="4">
        <v>528</v>
      </c>
      <c r="J319" s="4">
        <v>30.4</v>
      </c>
      <c r="K319" s="4">
        <v>48.25</v>
      </c>
      <c r="L319" s="4">
        <v>20.170000000000002</v>
      </c>
      <c r="M319" s="4">
        <v>46.59</v>
      </c>
      <c r="N319" s="4">
        <v>6.35</v>
      </c>
      <c r="O319" s="4">
        <v>168.05</v>
      </c>
      <c r="P319" s="4">
        <v>78.83</v>
      </c>
      <c r="Q319" s="4">
        <v>35.549999999999997</v>
      </c>
      <c r="R319" s="4">
        <v>40.520000000000003</v>
      </c>
      <c r="S319" s="4">
        <v>1.1299999999999999</v>
      </c>
      <c r="T319" s="4">
        <v>-3.22</v>
      </c>
      <c r="U319" s="4">
        <v>-18.079999999999998</v>
      </c>
      <c r="V319" s="4">
        <v>0.153</v>
      </c>
      <c r="W319" s="4">
        <v>59.7</v>
      </c>
      <c r="X319" s="4">
        <v>-0.63</v>
      </c>
      <c r="Y319" s="4">
        <v>-0.77</v>
      </c>
      <c r="Z319" s="4">
        <v>-1.17</v>
      </c>
      <c r="AA319" s="4">
        <v>-4.96</v>
      </c>
      <c r="AB319" s="4">
        <f t="shared" si="20"/>
        <v>6.2565794020035108</v>
      </c>
      <c r="AC319" s="4">
        <f t="shared" si="21"/>
        <v>6.4308418828709311</v>
      </c>
      <c r="AD319" s="4">
        <f t="shared" si="22"/>
        <v>-1.3735059075808467</v>
      </c>
      <c r="AE319" s="4">
        <f t="shared" si="23"/>
        <v>1.4210894462503547</v>
      </c>
      <c r="AF319">
        <f t="shared" si="24"/>
        <v>34.987709523027171</v>
      </c>
      <c r="AG319" t="s">
        <v>608</v>
      </c>
      <c r="AH319" t="s">
        <v>48</v>
      </c>
      <c r="AI319" t="s">
        <v>487</v>
      </c>
      <c r="AJ319" t="s">
        <v>488</v>
      </c>
    </row>
    <row r="320" spans="1:36" x14ac:dyDescent="0.3">
      <c r="A320" t="s">
        <v>864</v>
      </c>
      <c r="B320" t="s">
        <v>450</v>
      </c>
      <c r="C320" t="s">
        <v>484</v>
      </c>
      <c r="D320" s="9" t="s">
        <v>628</v>
      </c>
      <c r="E320" t="s">
        <v>50</v>
      </c>
      <c r="F320" t="s">
        <v>101</v>
      </c>
      <c r="G320" s="4">
        <v>6.77</v>
      </c>
      <c r="H320" s="4">
        <v>634.5</v>
      </c>
      <c r="I320" s="4">
        <v>352.2</v>
      </c>
      <c r="J320" s="4">
        <v>29</v>
      </c>
      <c r="K320" s="4">
        <v>30.33</v>
      </c>
      <c r="L320" s="4">
        <v>11.02</v>
      </c>
      <c r="M320" s="4">
        <v>32.25</v>
      </c>
      <c r="N320" s="4">
        <v>4.22</v>
      </c>
      <c r="O320" s="4">
        <v>105.52</v>
      </c>
      <c r="P320" s="4">
        <v>37.92</v>
      </c>
      <c r="Q320" s="4">
        <v>29.93</v>
      </c>
      <c r="R320" s="4">
        <v>35.549999999999997</v>
      </c>
      <c r="S320" s="4">
        <v>0.42</v>
      </c>
      <c r="T320" s="4">
        <v>-3.37</v>
      </c>
      <c r="U320" s="4">
        <v>-20.77</v>
      </c>
      <c r="V320" s="4">
        <v>0.153</v>
      </c>
      <c r="W320" s="4">
        <v>64.900000000000006</v>
      </c>
      <c r="X320" s="4">
        <v>-0.44</v>
      </c>
      <c r="Y320" s="4">
        <v>-0.57999999999999996</v>
      </c>
      <c r="Z320" s="4">
        <v>-1.28</v>
      </c>
      <c r="AA320" s="4">
        <v>-5.27</v>
      </c>
      <c r="AB320" s="4">
        <f t="shared" si="20"/>
        <v>3.9311366272655905</v>
      </c>
      <c r="AC320" s="4">
        <f t="shared" si="21"/>
        <v>4.0175691126333106</v>
      </c>
      <c r="AD320" s="4">
        <f t="shared" si="22"/>
        <v>-1.087378098976141</v>
      </c>
      <c r="AE320" s="4">
        <f t="shared" si="23"/>
        <v>1.2752192012137469</v>
      </c>
      <c r="AF320">
        <f t="shared" si="24"/>
        <v>38.431092372124617</v>
      </c>
      <c r="AG320" t="s">
        <v>497</v>
      </c>
      <c r="AH320" t="s">
        <v>48</v>
      </c>
      <c r="AI320" t="s">
        <v>487</v>
      </c>
      <c r="AJ320" t="s">
        <v>488</v>
      </c>
    </row>
    <row r="321" spans="1:36" x14ac:dyDescent="0.3">
      <c r="A321" t="s">
        <v>865</v>
      </c>
      <c r="B321" t="s">
        <v>450</v>
      </c>
      <c r="C321" t="s">
        <v>490</v>
      </c>
      <c r="D321" s="9" t="s">
        <v>532</v>
      </c>
      <c r="E321" t="s">
        <v>50</v>
      </c>
      <c r="F321" t="s">
        <v>101</v>
      </c>
      <c r="G321" s="4">
        <v>6.76</v>
      </c>
      <c r="H321" s="4">
        <v>818.7</v>
      </c>
      <c r="I321" s="4">
        <v>518.20000000000005</v>
      </c>
      <c r="J321" s="4">
        <v>29.1</v>
      </c>
      <c r="K321" s="4">
        <v>51.21</v>
      </c>
      <c r="L321" s="4">
        <v>16.21</v>
      </c>
      <c r="M321" s="4">
        <v>44.99</v>
      </c>
      <c r="N321" s="4">
        <v>6.56</v>
      </c>
      <c r="O321" s="4">
        <v>179.97</v>
      </c>
      <c r="P321" s="4">
        <v>75.27</v>
      </c>
      <c r="Q321" s="4">
        <v>20.91</v>
      </c>
      <c r="R321" s="4">
        <v>41.48</v>
      </c>
      <c r="S321" s="4">
        <v>0.48</v>
      </c>
      <c r="T321" s="4">
        <v>-2.93</v>
      </c>
      <c r="U321" s="4">
        <v>-20.75</v>
      </c>
      <c r="V321" s="4">
        <v>0.13500000000000001</v>
      </c>
      <c r="W321" s="4">
        <v>67.7</v>
      </c>
      <c r="X321" s="4">
        <v>-0.32</v>
      </c>
      <c r="Y321" s="4">
        <v>-0.65</v>
      </c>
      <c r="Z321" s="4">
        <v>-1.46</v>
      </c>
      <c r="AA321" s="4">
        <v>-5.39</v>
      </c>
      <c r="AB321" s="4">
        <f t="shared" si="20"/>
        <v>6.0142051019990479</v>
      </c>
      <c r="AC321" s="4">
        <f t="shared" si="21"/>
        <v>6.2022448693495997</v>
      </c>
      <c r="AD321" s="4">
        <f t="shared" si="22"/>
        <v>-1.5392341293220471</v>
      </c>
      <c r="AE321" s="4">
        <f t="shared" si="23"/>
        <v>1.4033618966691022</v>
      </c>
      <c r="AF321">
        <f t="shared" si="24"/>
        <v>35.329796811209654</v>
      </c>
      <c r="AG321" t="s">
        <v>497</v>
      </c>
      <c r="AH321" t="s">
        <v>48</v>
      </c>
      <c r="AI321" t="s">
        <v>487</v>
      </c>
      <c r="AJ321" t="s">
        <v>488</v>
      </c>
    </row>
  </sheetData>
  <conditionalFormatting sqref="R2:R321">
    <cfRule type="cellIs" dxfId="5" priority="2" operator="greaterThan">
      <formula>50</formula>
    </cfRule>
  </conditionalFormatting>
  <conditionalFormatting sqref="S2:S321">
    <cfRule type="cellIs" dxfId="4" priority="1" operator="greaterThan">
      <formula>1.5</formula>
    </cfRule>
  </conditionalFormatting>
  <conditionalFormatting sqref="AD2:AD321">
    <cfRule type="expression" dxfId="3" priority="3">
      <formula>ABS(AD2)&gt;5</formula>
    </cfRule>
  </conditionalFormatting>
  <conditionalFormatting sqref="AJ2:AJ321">
    <cfRule type="expression" dxfId="2" priority="4">
      <formula>ISNUMBER(SEARCH("CBE &gt; ±10%",AJ2))</formula>
    </cfRule>
    <cfRule type="expression" dxfId="1" priority="5">
      <formula>ISNUMBER(SEARCH("±5%",AJ2))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1"/>
  <sheetViews>
    <sheetView workbookViewId="0"/>
  </sheetViews>
  <sheetFormatPr defaultRowHeight="14.4" x14ac:dyDescent="0.3"/>
  <cols>
    <col min="1" max="12" width="16" customWidth="1"/>
  </cols>
  <sheetData>
    <row r="1" spans="1:12" ht="28.8" x14ac:dyDescent="0.3">
      <c r="A1" s="10" t="s">
        <v>37</v>
      </c>
      <c r="B1" s="10" t="s">
        <v>866</v>
      </c>
      <c r="C1" s="10" t="s">
        <v>867</v>
      </c>
      <c r="D1" s="10" t="s">
        <v>868</v>
      </c>
      <c r="E1" s="10" t="s">
        <v>869</v>
      </c>
      <c r="F1" s="10" t="s">
        <v>870</v>
      </c>
      <c r="G1" s="10" t="s">
        <v>871</v>
      </c>
      <c r="H1" s="10" t="s">
        <v>872</v>
      </c>
      <c r="I1" s="10" t="s">
        <v>873</v>
      </c>
      <c r="J1" s="10" t="s">
        <v>874</v>
      </c>
      <c r="K1" s="10" t="s">
        <v>875</v>
      </c>
      <c r="L1" s="10" t="s">
        <v>71</v>
      </c>
    </row>
    <row r="2" spans="1:12" x14ac:dyDescent="0.3">
      <c r="A2" t="s">
        <v>47</v>
      </c>
      <c r="B2">
        <v>1991</v>
      </c>
      <c r="C2" s="4">
        <v>989</v>
      </c>
      <c r="D2" s="4">
        <v>-3</v>
      </c>
      <c r="E2" s="4">
        <v>28.15</v>
      </c>
      <c r="F2" s="4">
        <v>1594.7</v>
      </c>
      <c r="G2" s="4">
        <v>0.62</v>
      </c>
      <c r="H2" s="4">
        <v>-0.26</v>
      </c>
      <c r="I2" s="4">
        <v>0.32500000000000001</v>
      </c>
      <c r="J2" s="4">
        <v>84.1</v>
      </c>
      <c r="K2" t="s">
        <v>876</v>
      </c>
      <c r="L2" t="s">
        <v>488</v>
      </c>
    </row>
    <row r="3" spans="1:12" x14ac:dyDescent="0.3">
      <c r="A3" t="s">
        <v>47</v>
      </c>
      <c r="B3">
        <v>1992</v>
      </c>
      <c r="C3" s="4">
        <v>1140.0999999999999</v>
      </c>
      <c r="D3" s="4">
        <v>11.8</v>
      </c>
      <c r="E3" s="4">
        <v>28.26</v>
      </c>
      <c r="F3" s="4">
        <v>1668.3</v>
      </c>
      <c r="G3" s="4">
        <v>0.68300000000000005</v>
      </c>
      <c r="H3" s="4">
        <v>0.98</v>
      </c>
      <c r="I3" s="4">
        <v>0.32400000000000001</v>
      </c>
      <c r="J3" s="4">
        <v>119.8</v>
      </c>
      <c r="K3" t="s">
        <v>484</v>
      </c>
      <c r="L3" t="s">
        <v>488</v>
      </c>
    </row>
    <row r="4" spans="1:12" x14ac:dyDescent="0.3">
      <c r="A4" t="s">
        <v>47</v>
      </c>
      <c r="B4">
        <v>1993</v>
      </c>
      <c r="C4" s="4">
        <v>1145.7</v>
      </c>
      <c r="D4" s="4">
        <v>12.4</v>
      </c>
      <c r="E4" s="4">
        <v>28.08</v>
      </c>
      <c r="F4" s="4">
        <v>1627.9</v>
      </c>
      <c r="G4" s="4">
        <v>0.70399999999999996</v>
      </c>
      <c r="H4" s="4">
        <v>1.06</v>
      </c>
      <c r="I4" s="4">
        <v>0.379</v>
      </c>
      <c r="J4" s="4">
        <v>117.8</v>
      </c>
      <c r="K4" t="s">
        <v>484</v>
      </c>
      <c r="L4" t="s">
        <v>488</v>
      </c>
    </row>
    <row r="5" spans="1:12" x14ac:dyDescent="0.3">
      <c r="A5" t="s">
        <v>47</v>
      </c>
      <c r="B5">
        <v>1994</v>
      </c>
      <c r="C5" s="4">
        <v>1094</v>
      </c>
      <c r="D5" s="4">
        <v>7.3</v>
      </c>
      <c r="E5" s="4">
        <v>28.19</v>
      </c>
      <c r="F5" s="4">
        <v>1653.4</v>
      </c>
      <c r="G5" s="4">
        <v>0.66200000000000003</v>
      </c>
      <c r="H5" s="4">
        <v>0.61</v>
      </c>
      <c r="I5" s="4">
        <v>0.28100000000000003</v>
      </c>
      <c r="J5" s="4">
        <v>119.7</v>
      </c>
      <c r="K5" t="s">
        <v>876</v>
      </c>
      <c r="L5" t="s">
        <v>488</v>
      </c>
    </row>
    <row r="6" spans="1:12" x14ac:dyDescent="0.3">
      <c r="A6" t="s">
        <v>47</v>
      </c>
      <c r="B6">
        <v>1995</v>
      </c>
      <c r="C6" s="4">
        <v>1243.9000000000001</v>
      </c>
      <c r="D6" s="4">
        <v>22</v>
      </c>
      <c r="E6" s="4">
        <v>28.37</v>
      </c>
      <c r="F6" s="4">
        <v>1724.5</v>
      </c>
      <c r="G6" s="4">
        <v>0.72099999999999997</v>
      </c>
      <c r="H6" s="4">
        <v>1.82</v>
      </c>
      <c r="I6" s="4">
        <v>0.39</v>
      </c>
      <c r="J6" s="4">
        <v>143.80000000000001</v>
      </c>
      <c r="K6" t="s">
        <v>484</v>
      </c>
      <c r="L6" t="s">
        <v>488</v>
      </c>
    </row>
    <row r="7" spans="1:12" x14ac:dyDescent="0.3">
      <c r="A7" t="s">
        <v>47</v>
      </c>
      <c r="B7">
        <v>1996</v>
      </c>
      <c r="C7" s="4">
        <v>1204.0999999999999</v>
      </c>
      <c r="D7" s="4">
        <v>18.100000000000001</v>
      </c>
      <c r="E7" s="4">
        <v>28.3</v>
      </c>
      <c r="F7" s="4">
        <v>1624</v>
      </c>
      <c r="G7" s="4">
        <v>0.74099999999999999</v>
      </c>
      <c r="H7" s="4">
        <v>1.5</v>
      </c>
      <c r="I7" s="4">
        <v>0.39800000000000002</v>
      </c>
      <c r="J7" s="4">
        <v>120.4</v>
      </c>
      <c r="K7" t="s">
        <v>484</v>
      </c>
      <c r="L7" t="s">
        <v>488</v>
      </c>
    </row>
    <row r="8" spans="1:12" x14ac:dyDescent="0.3">
      <c r="A8" t="s">
        <v>47</v>
      </c>
      <c r="B8">
        <v>1997</v>
      </c>
      <c r="C8" s="4">
        <v>995.6</v>
      </c>
      <c r="D8" s="4">
        <v>-2.2999999999999998</v>
      </c>
      <c r="E8" s="4">
        <v>28.01</v>
      </c>
      <c r="F8" s="4">
        <v>1690.7</v>
      </c>
      <c r="G8" s="4">
        <v>0.58899999999999997</v>
      </c>
      <c r="H8" s="4">
        <v>-0.18</v>
      </c>
      <c r="I8" s="4">
        <v>0.252</v>
      </c>
      <c r="J8" s="4">
        <v>93.1</v>
      </c>
      <c r="K8" t="s">
        <v>876</v>
      </c>
      <c r="L8" t="s">
        <v>488</v>
      </c>
    </row>
    <row r="9" spans="1:12" x14ac:dyDescent="0.3">
      <c r="A9" t="s">
        <v>47</v>
      </c>
      <c r="B9">
        <v>1998</v>
      </c>
      <c r="C9" s="4">
        <v>959.3</v>
      </c>
      <c r="D9" s="4">
        <v>-5.9</v>
      </c>
      <c r="E9" s="4">
        <v>28.15</v>
      </c>
      <c r="F9" s="4">
        <v>1773</v>
      </c>
      <c r="G9" s="4">
        <v>0.54100000000000004</v>
      </c>
      <c r="H9" s="4">
        <v>-0.51</v>
      </c>
      <c r="I9" s="4">
        <v>0.2</v>
      </c>
      <c r="J9" s="4">
        <v>76.400000000000006</v>
      </c>
      <c r="K9" t="s">
        <v>876</v>
      </c>
      <c r="L9" t="s">
        <v>488</v>
      </c>
    </row>
    <row r="10" spans="1:12" x14ac:dyDescent="0.3">
      <c r="A10" t="s">
        <v>47</v>
      </c>
      <c r="B10">
        <v>1999</v>
      </c>
      <c r="C10" s="4">
        <v>1217.5999999999999</v>
      </c>
      <c r="D10" s="4">
        <v>19.399999999999999</v>
      </c>
      <c r="E10" s="4">
        <v>28.26</v>
      </c>
      <c r="F10" s="4">
        <v>1707.1</v>
      </c>
      <c r="G10" s="4">
        <v>0.71299999999999997</v>
      </c>
      <c r="H10" s="4">
        <v>1.62</v>
      </c>
      <c r="I10" s="4">
        <v>0.35899999999999999</v>
      </c>
      <c r="J10" s="4">
        <v>139.9</v>
      </c>
      <c r="K10" t="s">
        <v>484</v>
      </c>
      <c r="L10" t="s">
        <v>488</v>
      </c>
    </row>
    <row r="11" spans="1:12" x14ac:dyDescent="0.3">
      <c r="A11" t="s">
        <v>47</v>
      </c>
      <c r="B11">
        <v>2000</v>
      </c>
      <c r="C11" s="4">
        <v>1123.5</v>
      </c>
      <c r="D11" s="4">
        <v>10.199999999999999</v>
      </c>
      <c r="E11" s="4">
        <v>28.26</v>
      </c>
      <c r="F11" s="4">
        <v>1760.2</v>
      </c>
      <c r="G11" s="4">
        <v>0.63800000000000001</v>
      </c>
      <c r="H11" s="4">
        <v>0.84</v>
      </c>
      <c r="I11" s="4">
        <v>0.252</v>
      </c>
      <c r="J11" s="4">
        <v>111.4</v>
      </c>
      <c r="K11" t="s">
        <v>484</v>
      </c>
      <c r="L11" t="s">
        <v>488</v>
      </c>
    </row>
    <row r="12" spans="1:12" x14ac:dyDescent="0.3">
      <c r="A12" t="s">
        <v>47</v>
      </c>
      <c r="B12">
        <v>2001</v>
      </c>
      <c r="C12" s="4">
        <v>1093.3</v>
      </c>
      <c r="D12" s="4">
        <v>7.3</v>
      </c>
      <c r="E12" s="4">
        <v>28.35</v>
      </c>
      <c r="F12" s="4">
        <v>1718.7</v>
      </c>
      <c r="G12" s="4">
        <v>0.63600000000000001</v>
      </c>
      <c r="H12" s="4">
        <v>0.56999999999999995</v>
      </c>
      <c r="I12" s="4">
        <v>0.247</v>
      </c>
      <c r="J12" s="4">
        <v>109.5</v>
      </c>
      <c r="K12" t="s">
        <v>876</v>
      </c>
      <c r="L12" t="s">
        <v>488</v>
      </c>
    </row>
    <row r="13" spans="1:12" x14ac:dyDescent="0.3">
      <c r="A13" t="s">
        <v>47</v>
      </c>
      <c r="B13">
        <v>2002</v>
      </c>
      <c r="C13" s="4">
        <v>1069.2</v>
      </c>
      <c r="D13" s="4">
        <v>4.9000000000000004</v>
      </c>
      <c r="E13" s="4">
        <v>28.56</v>
      </c>
      <c r="F13" s="4">
        <v>1664.9</v>
      </c>
      <c r="G13" s="4">
        <v>0.64200000000000002</v>
      </c>
      <c r="H13" s="4">
        <v>0.33</v>
      </c>
      <c r="I13" s="4">
        <v>0.29699999999999999</v>
      </c>
      <c r="J13" s="4">
        <v>88.9</v>
      </c>
      <c r="K13" t="s">
        <v>876</v>
      </c>
      <c r="L13" t="s">
        <v>488</v>
      </c>
    </row>
    <row r="14" spans="1:12" x14ac:dyDescent="0.3">
      <c r="A14" t="s">
        <v>47</v>
      </c>
      <c r="B14">
        <v>2003</v>
      </c>
      <c r="C14" s="4">
        <v>1023</v>
      </c>
      <c r="D14" s="4">
        <v>0.4</v>
      </c>
      <c r="E14" s="4">
        <v>28.66</v>
      </c>
      <c r="F14" s="4">
        <v>1739.8</v>
      </c>
      <c r="G14" s="4">
        <v>0.58799999999999997</v>
      </c>
      <c r="H14" s="4">
        <v>-0.08</v>
      </c>
      <c r="I14" s="4">
        <v>0.21199999999999999</v>
      </c>
      <c r="J14" s="4">
        <v>97.5</v>
      </c>
      <c r="K14" t="s">
        <v>876</v>
      </c>
      <c r="L14" t="s">
        <v>488</v>
      </c>
    </row>
    <row r="15" spans="1:12" x14ac:dyDescent="0.3">
      <c r="A15" t="s">
        <v>47</v>
      </c>
      <c r="B15">
        <v>2004</v>
      </c>
      <c r="C15" s="4">
        <v>996.7</v>
      </c>
      <c r="D15" s="4">
        <v>-2.2000000000000002</v>
      </c>
      <c r="E15" s="4">
        <v>28.56</v>
      </c>
      <c r="F15" s="4">
        <v>1675</v>
      </c>
      <c r="G15" s="4">
        <v>0.59499999999999997</v>
      </c>
      <c r="H15" s="4">
        <v>-0.28000000000000003</v>
      </c>
      <c r="I15" s="4">
        <v>0.27200000000000002</v>
      </c>
      <c r="J15" s="4">
        <v>94.4</v>
      </c>
      <c r="K15" t="s">
        <v>876</v>
      </c>
      <c r="L15" t="s">
        <v>488</v>
      </c>
    </row>
    <row r="16" spans="1:12" x14ac:dyDescent="0.3">
      <c r="A16" t="s">
        <v>47</v>
      </c>
      <c r="B16">
        <v>2005</v>
      </c>
      <c r="C16" s="4">
        <v>1032.9000000000001</v>
      </c>
      <c r="D16" s="4">
        <v>1.3</v>
      </c>
      <c r="E16" s="4">
        <v>28.67</v>
      </c>
      <c r="F16" s="4">
        <v>1667.2</v>
      </c>
      <c r="G16" s="4">
        <v>0.62</v>
      </c>
      <c r="H16" s="4">
        <v>0</v>
      </c>
      <c r="I16" s="4">
        <v>0.27500000000000002</v>
      </c>
      <c r="J16" s="4">
        <v>95.7</v>
      </c>
      <c r="K16" t="s">
        <v>876</v>
      </c>
      <c r="L16" t="s">
        <v>488</v>
      </c>
    </row>
    <row r="17" spans="1:12" x14ac:dyDescent="0.3">
      <c r="A17" t="s">
        <v>47</v>
      </c>
      <c r="B17">
        <v>2006</v>
      </c>
      <c r="C17" s="4">
        <v>907.6</v>
      </c>
      <c r="D17" s="4">
        <v>-11</v>
      </c>
      <c r="E17" s="4">
        <v>28.42</v>
      </c>
      <c r="F17" s="4">
        <v>1723.6</v>
      </c>
      <c r="G17" s="4">
        <v>0.52700000000000002</v>
      </c>
      <c r="H17" s="4">
        <v>-1</v>
      </c>
      <c r="I17" s="4">
        <v>0.2</v>
      </c>
      <c r="J17" s="4">
        <v>62.1</v>
      </c>
      <c r="K17" t="s">
        <v>877</v>
      </c>
      <c r="L17" t="s">
        <v>488</v>
      </c>
    </row>
    <row r="18" spans="1:12" x14ac:dyDescent="0.3">
      <c r="A18" t="s">
        <v>47</v>
      </c>
      <c r="B18">
        <v>2007</v>
      </c>
      <c r="C18" s="4">
        <v>927.9</v>
      </c>
      <c r="D18" s="4">
        <v>-9</v>
      </c>
      <c r="E18" s="4">
        <v>28.6</v>
      </c>
      <c r="F18" s="4">
        <v>1748.6</v>
      </c>
      <c r="G18" s="4">
        <v>0.53100000000000003</v>
      </c>
      <c r="H18" s="4">
        <v>-0.86</v>
      </c>
      <c r="I18" s="4">
        <v>0.2</v>
      </c>
      <c r="J18" s="4">
        <v>68.099999999999994</v>
      </c>
      <c r="K18" t="s">
        <v>877</v>
      </c>
      <c r="L18" t="s">
        <v>488</v>
      </c>
    </row>
    <row r="19" spans="1:12" x14ac:dyDescent="0.3">
      <c r="A19" t="s">
        <v>47</v>
      </c>
      <c r="B19">
        <v>2008</v>
      </c>
      <c r="C19" s="4">
        <v>979.8</v>
      </c>
      <c r="D19" s="4">
        <v>-3.9</v>
      </c>
      <c r="E19" s="4">
        <v>28.54</v>
      </c>
      <c r="F19" s="4">
        <v>1800.6</v>
      </c>
      <c r="G19" s="4">
        <v>0.54400000000000004</v>
      </c>
      <c r="H19" s="4">
        <v>-0.42</v>
      </c>
      <c r="I19" s="4">
        <v>0.2</v>
      </c>
      <c r="J19" s="4">
        <v>76.8</v>
      </c>
      <c r="K19" t="s">
        <v>876</v>
      </c>
      <c r="L19" t="s">
        <v>488</v>
      </c>
    </row>
    <row r="20" spans="1:12" x14ac:dyDescent="0.3">
      <c r="A20" t="s">
        <v>47</v>
      </c>
      <c r="B20">
        <v>2009</v>
      </c>
      <c r="C20" s="4">
        <v>944.1</v>
      </c>
      <c r="D20" s="4">
        <v>-7.4</v>
      </c>
      <c r="E20" s="4">
        <v>28.67</v>
      </c>
      <c r="F20" s="4">
        <v>1740.7</v>
      </c>
      <c r="G20" s="4">
        <v>0.54200000000000004</v>
      </c>
      <c r="H20" s="4">
        <v>-0.74</v>
      </c>
      <c r="I20" s="4">
        <v>0.2</v>
      </c>
      <c r="J20" s="4">
        <v>74.5</v>
      </c>
      <c r="K20" t="s">
        <v>877</v>
      </c>
      <c r="L20" t="s">
        <v>488</v>
      </c>
    </row>
    <row r="21" spans="1:12" x14ac:dyDescent="0.3">
      <c r="A21" t="s">
        <v>47</v>
      </c>
      <c r="B21">
        <v>2010</v>
      </c>
      <c r="C21" s="4">
        <v>982.3</v>
      </c>
      <c r="D21" s="4">
        <v>-3.6</v>
      </c>
      <c r="E21" s="4">
        <v>28.69</v>
      </c>
      <c r="F21" s="4">
        <v>1762.7</v>
      </c>
      <c r="G21" s="4">
        <v>0.55700000000000005</v>
      </c>
      <c r="H21" s="4">
        <v>-0.43</v>
      </c>
      <c r="I21" s="4">
        <v>0.2</v>
      </c>
      <c r="J21" s="4">
        <v>75</v>
      </c>
      <c r="K21" t="s">
        <v>876</v>
      </c>
      <c r="L21" t="s">
        <v>488</v>
      </c>
    </row>
    <row r="22" spans="1:12" x14ac:dyDescent="0.3">
      <c r="A22" t="s">
        <v>47</v>
      </c>
      <c r="B22">
        <v>2011</v>
      </c>
      <c r="C22" s="4">
        <v>907.3</v>
      </c>
      <c r="D22" s="4">
        <v>-11</v>
      </c>
      <c r="E22" s="4">
        <v>28.62</v>
      </c>
      <c r="F22" s="4">
        <v>1713.9</v>
      </c>
      <c r="G22" s="4">
        <v>0.52900000000000003</v>
      </c>
      <c r="H22" s="4">
        <v>-1.04</v>
      </c>
      <c r="I22" s="4">
        <v>0.2</v>
      </c>
      <c r="J22" s="4">
        <v>71.7</v>
      </c>
      <c r="K22" t="s">
        <v>877</v>
      </c>
      <c r="L22" t="s">
        <v>488</v>
      </c>
    </row>
    <row r="23" spans="1:12" x14ac:dyDescent="0.3">
      <c r="A23" t="s">
        <v>47</v>
      </c>
      <c r="B23">
        <v>2012</v>
      </c>
      <c r="C23" s="4">
        <v>1064.8</v>
      </c>
      <c r="D23" s="4">
        <v>4.5</v>
      </c>
      <c r="E23" s="4">
        <v>29.07</v>
      </c>
      <c r="F23" s="4">
        <v>1724</v>
      </c>
      <c r="G23" s="4">
        <v>0.61799999999999999</v>
      </c>
      <c r="H23" s="4">
        <v>0.19</v>
      </c>
      <c r="I23" s="4">
        <v>0.255</v>
      </c>
      <c r="J23" s="4">
        <v>95.4</v>
      </c>
      <c r="K23" t="s">
        <v>876</v>
      </c>
      <c r="L23" t="s">
        <v>488</v>
      </c>
    </row>
    <row r="24" spans="1:12" x14ac:dyDescent="0.3">
      <c r="A24" t="s">
        <v>47</v>
      </c>
      <c r="B24">
        <v>2013</v>
      </c>
      <c r="C24" s="4">
        <v>1117.5999999999999</v>
      </c>
      <c r="D24" s="4">
        <v>9.6</v>
      </c>
      <c r="E24" s="4">
        <v>28.98</v>
      </c>
      <c r="F24" s="4">
        <v>1803</v>
      </c>
      <c r="G24" s="4">
        <v>0.62</v>
      </c>
      <c r="H24" s="4">
        <v>0.64</v>
      </c>
      <c r="I24" s="4">
        <v>0.25600000000000001</v>
      </c>
      <c r="J24" s="4">
        <v>89.9</v>
      </c>
      <c r="K24" t="s">
        <v>876</v>
      </c>
      <c r="L24" t="s">
        <v>488</v>
      </c>
    </row>
    <row r="25" spans="1:12" x14ac:dyDescent="0.3">
      <c r="A25" t="s">
        <v>47</v>
      </c>
      <c r="B25">
        <v>2014</v>
      </c>
      <c r="C25" s="4">
        <v>1027.7</v>
      </c>
      <c r="D25" s="4">
        <v>0.8</v>
      </c>
      <c r="E25" s="4">
        <v>28.98</v>
      </c>
      <c r="F25" s="4">
        <v>1714.1</v>
      </c>
      <c r="G25" s="4">
        <v>0.6</v>
      </c>
      <c r="H25" s="4">
        <v>-0.11</v>
      </c>
      <c r="I25" s="4">
        <v>0.2</v>
      </c>
      <c r="J25" s="4">
        <v>91.5</v>
      </c>
      <c r="K25" t="s">
        <v>876</v>
      </c>
      <c r="L25" t="s">
        <v>488</v>
      </c>
    </row>
    <row r="26" spans="1:12" x14ac:dyDescent="0.3">
      <c r="A26" t="s">
        <v>47</v>
      </c>
      <c r="B26">
        <v>2015</v>
      </c>
      <c r="C26" s="4">
        <v>1038.0999999999999</v>
      </c>
      <c r="D26" s="4">
        <v>1.8</v>
      </c>
      <c r="E26" s="4">
        <v>28.91</v>
      </c>
      <c r="F26" s="4">
        <v>1815.5</v>
      </c>
      <c r="G26" s="4">
        <v>0.57199999999999995</v>
      </c>
      <c r="H26" s="4">
        <v>0</v>
      </c>
      <c r="I26" s="4">
        <v>0.2</v>
      </c>
      <c r="J26" s="4">
        <v>99.2</v>
      </c>
      <c r="K26" t="s">
        <v>876</v>
      </c>
      <c r="L26" t="s">
        <v>488</v>
      </c>
    </row>
    <row r="27" spans="1:12" x14ac:dyDescent="0.3">
      <c r="A27" t="s">
        <v>47</v>
      </c>
      <c r="B27">
        <v>2016</v>
      </c>
      <c r="C27" s="4">
        <v>1074.8</v>
      </c>
      <c r="D27" s="4">
        <v>5.4</v>
      </c>
      <c r="E27" s="4">
        <v>28.99</v>
      </c>
      <c r="F27" s="4">
        <v>1821.4</v>
      </c>
      <c r="G27" s="4">
        <v>0.59</v>
      </c>
      <c r="H27" s="4">
        <v>0.28999999999999998</v>
      </c>
      <c r="I27" s="4">
        <v>0.2</v>
      </c>
      <c r="J27" s="4">
        <v>102.4</v>
      </c>
      <c r="K27" t="s">
        <v>876</v>
      </c>
      <c r="L27" t="s">
        <v>488</v>
      </c>
    </row>
    <row r="28" spans="1:12" x14ac:dyDescent="0.3">
      <c r="A28" t="s">
        <v>47</v>
      </c>
      <c r="B28">
        <v>2017</v>
      </c>
      <c r="C28" s="4">
        <v>1012.2</v>
      </c>
      <c r="D28" s="4">
        <v>-0.7</v>
      </c>
      <c r="E28" s="4">
        <v>29.18</v>
      </c>
      <c r="F28" s="4">
        <v>1824.1</v>
      </c>
      <c r="G28" s="4">
        <v>0.55500000000000005</v>
      </c>
      <c r="H28" s="4">
        <v>-0.28000000000000003</v>
      </c>
      <c r="I28" s="4">
        <v>0.2</v>
      </c>
      <c r="J28" s="4">
        <v>90.6</v>
      </c>
      <c r="K28" t="s">
        <v>876</v>
      </c>
      <c r="L28" t="s">
        <v>488</v>
      </c>
    </row>
    <row r="29" spans="1:12" x14ac:dyDescent="0.3">
      <c r="A29" t="s">
        <v>47</v>
      </c>
      <c r="B29">
        <v>2018</v>
      </c>
      <c r="C29" s="4">
        <v>890.4</v>
      </c>
      <c r="D29" s="4">
        <v>-12.7</v>
      </c>
      <c r="E29" s="4">
        <v>28.77</v>
      </c>
      <c r="F29" s="4">
        <v>1865.9</v>
      </c>
      <c r="G29" s="4">
        <v>0.47699999999999998</v>
      </c>
      <c r="H29" s="4">
        <v>-1.21</v>
      </c>
      <c r="I29" s="4">
        <v>0.2</v>
      </c>
      <c r="J29" s="4">
        <v>41.3</v>
      </c>
      <c r="K29" t="s">
        <v>877</v>
      </c>
      <c r="L29" t="s">
        <v>488</v>
      </c>
    </row>
    <row r="30" spans="1:12" x14ac:dyDescent="0.3">
      <c r="A30" t="s">
        <v>47</v>
      </c>
      <c r="B30">
        <v>2019</v>
      </c>
      <c r="C30" s="4">
        <v>1250.5999999999999</v>
      </c>
      <c r="D30" s="4">
        <v>22.7</v>
      </c>
      <c r="E30" s="4">
        <v>29.29</v>
      </c>
      <c r="F30" s="4">
        <v>1789</v>
      </c>
      <c r="G30" s="4">
        <v>0.69899999999999995</v>
      </c>
      <c r="H30" s="4">
        <v>1.69</v>
      </c>
      <c r="I30" s="4">
        <v>0.248</v>
      </c>
      <c r="J30" s="4">
        <v>139.4</v>
      </c>
      <c r="K30" t="s">
        <v>484</v>
      </c>
      <c r="L30" t="s">
        <v>488</v>
      </c>
    </row>
    <row r="31" spans="1:12" x14ac:dyDescent="0.3">
      <c r="A31" t="s">
        <v>47</v>
      </c>
      <c r="B31">
        <v>2020</v>
      </c>
      <c r="C31" s="4">
        <v>1010.5</v>
      </c>
      <c r="D31" s="4">
        <v>-0.9</v>
      </c>
      <c r="E31" s="4">
        <v>29.08</v>
      </c>
      <c r="F31" s="4">
        <v>1806.6</v>
      </c>
      <c r="G31" s="4">
        <v>0.55900000000000005</v>
      </c>
      <c r="H31" s="4">
        <v>-0.27</v>
      </c>
      <c r="I31" s="4">
        <v>0.2</v>
      </c>
      <c r="J31" s="4">
        <v>85.9</v>
      </c>
      <c r="K31" t="s">
        <v>876</v>
      </c>
      <c r="L31" t="s">
        <v>488</v>
      </c>
    </row>
    <row r="32" spans="1:12" x14ac:dyDescent="0.3">
      <c r="A32" t="s">
        <v>47</v>
      </c>
      <c r="B32">
        <v>2021</v>
      </c>
      <c r="C32" s="4">
        <v>815.4</v>
      </c>
      <c r="D32" s="4">
        <v>-20</v>
      </c>
      <c r="E32" s="4">
        <v>29.34</v>
      </c>
      <c r="F32" s="4">
        <v>1802.6</v>
      </c>
      <c r="G32" s="4">
        <v>0.45200000000000001</v>
      </c>
      <c r="H32" s="4">
        <v>-1.95</v>
      </c>
      <c r="I32" s="4">
        <v>0.2</v>
      </c>
      <c r="J32" s="4">
        <v>60.2</v>
      </c>
      <c r="K32" t="s">
        <v>878</v>
      </c>
      <c r="L32" t="s">
        <v>488</v>
      </c>
    </row>
    <row r="33" spans="1:12" x14ac:dyDescent="0.3">
      <c r="A33" t="s">
        <v>47</v>
      </c>
      <c r="B33">
        <v>2022</v>
      </c>
      <c r="C33" s="4">
        <v>848.4</v>
      </c>
      <c r="D33" s="4">
        <v>-16.8</v>
      </c>
      <c r="E33" s="4">
        <v>29.28</v>
      </c>
      <c r="F33" s="4">
        <v>1921.9</v>
      </c>
      <c r="G33" s="4">
        <v>0.441</v>
      </c>
      <c r="H33" s="4">
        <v>-1.66</v>
      </c>
      <c r="I33" s="4">
        <v>0.2</v>
      </c>
      <c r="J33" s="4">
        <v>48.5</v>
      </c>
      <c r="K33" t="s">
        <v>878</v>
      </c>
      <c r="L33" t="s">
        <v>488</v>
      </c>
    </row>
    <row r="34" spans="1:12" x14ac:dyDescent="0.3">
      <c r="A34" t="s">
        <v>47</v>
      </c>
      <c r="B34">
        <v>2023</v>
      </c>
      <c r="C34" s="4">
        <v>771.1</v>
      </c>
      <c r="D34" s="4">
        <v>-24.4</v>
      </c>
      <c r="E34" s="4">
        <v>29.22</v>
      </c>
      <c r="F34" s="4">
        <v>1865.4</v>
      </c>
      <c r="G34" s="4">
        <v>0.41299999999999998</v>
      </c>
      <c r="H34" s="4">
        <v>-2.2999999999999998</v>
      </c>
      <c r="I34" s="4">
        <v>0.2</v>
      </c>
      <c r="J34" s="4">
        <v>30.8</v>
      </c>
      <c r="K34" t="s">
        <v>878</v>
      </c>
      <c r="L34" t="s">
        <v>488</v>
      </c>
    </row>
    <row r="35" spans="1:12" x14ac:dyDescent="0.3">
      <c r="A35" t="s">
        <v>47</v>
      </c>
      <c r="B35">
        <v>2024</v>
      </c>
      <c r="C35" s="4">
        <v>819.9</v>
      </c>
      <c r="D35" s="4">
        <v>-19.600000000000001</v>
      </c>
      <c r="E35" s="4">
        <v>29.57</v>
      </c>
      <c r="F35" s="4">
        <v>1897.1</v>
      </c>
      <c r="G35" s="4">
        <v>0.432</v>
      </c>
      <c r="H35" s="4">
        <v>-1.96</v>
      </c>
      <c r="I35" s="4">
        <v>0.2</v>
      </c>
      <c r="J35" s="4">
        <v>41.5</v>
      </c>
      <c r="K35" t="s">
        <v>878</v>
      </c>
      <c r="L35" t="s">
        <v>488</v>
      </c>
    </row>
    <row r="36" spans="1:12" x14ac:dyDescent="0.3">
      <c r="A36" t="s">
        <v>47</v>
      </c>
      <c r="B36">
        <v>2025</v>
      </c>
      <c r="C36" s="4">
        <v>958.1</v>
      </c>
      <c r="D36" s="4">
        <v>-6</v>
      </c>
      <c r="E36" s="4">
        <v>29.12</v>
      </c>
      <c r="F36" s="4">
        <v>1854.7</v>
      </c>
      <c r="G36" s="4">
        <v>0.51700000000000002</v>
      </c>
      <c r="H36" s="4">
        <v>-0.71</v>
      </c>
      <c r="I36" s="4">
        <v>0.2</v>
      </c>
      <c r="J36" s="4">
        <v>58.7</v>
      </c>
      <c r="K36" t="s">
        <v>877</v>
      </c>
      <c r="L36" t="s">
        <v>488</v>
      </c>
    </row>
    <row r="37" spans="1:12" x14ac:dyDescent="0.3">
      <c r="A37" t="s">
        <v>49</v>
      </c>
      <c r="B37">
        <v>1991</v>
      </c>
      <c r="C37" s="4">
        <v>957.9</v>
      </c>
      <c r="D37" s="4">
        <v>-0.3</v>
      </c>
      <c r="E37" s="4">
        <v>28.69</v>
      </c>
      <c r="F37" s="4">
        <v>1696</v>
      </c>
      <c r="G37" s="4">
        <v>0.56499999999999995</v>
      </c>
      <c r="H37" s="4">
        <v>-0.04</v>
      </c>
      <c r="I37" s="4">
        <v>0.214</v>
      </c>
      <c r="J37" s="4">
        <v>64.400000000000006</v>
      </c>
      <c r="K37" t="s">
        <v>876</v>
      </c>
      <c r="L37" t="s">
        <v>488</v>
      </c>
    </row>
    <row r="38" spans="1:12" x14ac:dyDescent="0.3">
      <c r="A38" t="s">
        <v>49</v>
      </c>
      <c r="B38">
        <v>1992</v>
      </c>
      <c r="C38" s="4">
        <v>934</v>
      </c>
      <c r="D38" s="4">
        <v>-2.7</v>
      </c>
      <c r="E38" s="4">
        <v>28.51</v>
      </c>
      <c r="F38" s="4">
        <v>1696.2</v>
      </c>
      <c r="G38" s="4">
        <v>0.55100000000000005</v>
      </c>
      <c r="H38" s="4">
        <v>-0.25</v>
      </c>
      <c r="I38" s="4">
        <v>0.25800000000000001</v>
      </c>
      <c r="J38" s="4">
        <v>79</v>
      </c>
      <c r="K38" t="s">
        <v>876</v>
      </c>
      <c r="L38" t="s">
        <v>488</v>
      </c>
    </row>
    <row r="39" spans="1:12" x14ac:dyDescent="0.3">
      <c r="A39" t="s">
        <v>49</v>
      </c>
      <c r="B39">
        <v>1993</v>
      </c>
      <c r="C39" s="4">
        <v>1008.6</v>
      </c>
      <c r="D39" s="4">
        <v>5</v>
      </c>
      <c r="E39" s="4">
        <v>28.71</v>
      </c>
      <c r="F39" s="4">
        <v>1611.8</v>
      </c>
      <c r="G39" s="4">
        <v>0.626</v>
      </c>
      <c r="H39" s="4">
        <v>0.46</v>
      </c>
      <c r="I39" s="4">
        <v>0.33100000000000002</v>
      </c>
      <c r="J39" s="4">
        <v>89.1</v>
      </c>
      <c r="K39" t="s">
        <v>876</v>
      </c>
      <c r="L39" t="s">
        <v>488</v>
      </c>
    </row>
    <row r="40" spans="1:12" x14ac:dyDescent="0.3">
      <c r="A40" t="s">
        <v>49</v>
      </c>
      <c r="B40">
        <v>1994</v>
      </c>
      <c r="C40" s="4">
        <v>1101.9000000000001</v>
      </c>
      <c r="D40" s="4">
        <v>14.7</v>
      </c>
      <c r="E40" s="4">
        <v>28.63</v>
      </c>
      <c r="F40" s="4">
        <v>1612.8</v>
      </c>
      <c r="G40" s="4">
        <v>0.68300000000000005</v>
      </c>
      <c r="H40" s="4">
        <v>1.42</v>
      </c>
      <c r="I40" s="4">
        <v>0.33</v>
      </c>
      <c r="J40" s="4">
        <v>111.4</v>
      </c>
      <c r="K40" t="s">
        <v>484</v>
      </c>
      <c r="L40" t="s">
        <v>488</v>
      </c>
    </row>
    <row r="41" spans="1:12" x14ac:dyDescent="0.3">
      <c r="A41" t="s">
        <v>49</v>
      </c>
      <c r="B41">
        <v>1995</v>
      </c>
      <c r="C41" s="4">
        <v>1027.4000000000001</v>
      </c>
      <c r="D41" s="4">
        <v>7</v>
      </c>
      <c r="E41" s="4">
        <v>28.51</v>
      </c>
      <c r="F41" s="4">
        <v>1651.5</v>
      </c>
      <c r="G41" s="4">
        <v>0.622</v>
      </c>
      <c r="H41" s="4">
        <v>0.69</v>
      </c>
      <c r="I41" s="4">
        <v>0.27600000000000002</v>
      </c>
      <c r="J41" s="4">
        <v>103.3</v>
      </c>
      <c r="K41" t="s">
        <v>876</v>
      </c>
      <c r="L41" t="s">
        <v>488</v>
      </c>
    </row>
    <row r="42" spans="1:12" x14ac:dyDescent="0.3">
      <c r="A42" t="s">
        <v>49</v>
      </c>
      <c r="B42">
        <v>1996</v>
      </c>
      <c r="C42" s="4">
        <v>908.8</v>
      </c>
      <c r="D42" s="4">
        <v>-5.4</v>
      </c>
      <c r="E42" s="4">
        <v>28.89</v>
      </c>
      <c r="F42" s="4">
        <v>1701.3</v>
      </c>
      <c r="G42" s="4">
        <v>0.53400000000000003</v>
      </c>
      <c r="H42" s="4">
        <v>-0.57999999999999996</v>
      </c>
      <c r="I42" s="4">
        <v>0.20100000000000001</v>
      </c>
      <c r="J42" s="4">
        <v>72.3</v>
      </c>
      <c r="K42" t="s">
        <v>876</v>
      </c>
      <c r="L42" t="s">
        <v>488</v>
      </c>
    </row>
    <row r="43" spans="1:12" x14ac:dyDescent="0.3">
      <c r="A43" t="s">
        <v>49</v>
      </c>
      <c r="B43">
        <v>1997</v>
      </c>
      <c r="C43" s="4">
        <v>1001.7</v>
      </c>
      <c r="D43" s="4">
        <v>4.3</v>
      </c>
      <c r="E43" s="4">
        <v>28.85</v>
      </c>
      <c r="F43" s="4">
        <v>1673.1</v>
      </c>
      <c r="G43" s="4">
        <v>0.59899999999999998</v>
      </c>
      <c r="H43" s="4">
        <v>0.37</v>
      </c>
      <c r="I43" s="4">
        <v>0.22600000000000001</v>
      </c>
      <c r="J43" s="4">
        <v>81.599999999999994</v>
      </c>
      <c r="K43" t="s">
        <v>876</v>
      </c>
      <c r="L43" t="s">
        <v>488</v>
      </c>
    </row>
    <row r="44" spans="1:12" x14ac:dyDescent="0.3">
      <c r="A44" t="s">
        <v>49</v>
      </c>
      <c r="B44">
        <v>1998</v>
      </c>
      <c r="C44" s="4">
        <v>1014.7</v>
      </c>
      <c r="D44" s="4">
        <v>5.7</v>
      </c>
      <c r="E44" s="4">
        <v>29.02</v>
      </c>
      <c r="F44" s="4">
        <v>1713.6</v>
      </c>
      <c r="G44" s="4">
        <v>0.59199999999999997</v>
      </c>
      <c r="H44" s="4">
        <v>0.47</v>
      </c>
      <c r="I44" s="4">
        <v>0.255</v>
      </c>
      <c r="J44" s="4">
        <v>95</v>
      </c>
      <c r="K44" t="s">
        <v>876</v>
      </c>
      <c r="L44" t="s">
        <v>488</v>
      </c>
    </row>
    <row r="45" spans="1:12" x14ac:dyDescent="0.3">
      <c r="A45" t="s">
        <v>49</v>
      </c>
      <c r="B45">
        <v>1999</v>
      </c>
      <c r="C45" s="4">
        <v>1111.7</v>
      </c>
      <c r="D45" s="4">
        <v>15.8</v>
      </c>
      <c r="E45" s="4">
        <v>28.63</v>
      </c>
      <c r="F45" s="4">
        <v>1738.1</v>
      </c>
      <c r="G45" s="4">
        <v>0.64</v>
      </c>
      <c r="H45" s="4">
        <v>1.52</v>
      </c>
      <c r="I45" s="4">
        <v>0.3</v>
      </c>
      <c r="J45" s="4">
        <v>115.7</v>
      </c>
      <c r="K45" t="s">
        <v>484</v>
      </c>
      <c r="L45" t="s">
        <v>488</v>
      </c>
    </row>
    <row r="46" spans="1:12" x14ac:dyDescent="0.3">
      <c r="A46" t="s">
        <v>49</v>
      </c>
      <c r="B46">
        <v>2000</v>
      </c>
      <c r="C46" s="4">
        <v>1133.5</v>
      </c>
      <c r="D46" s="4">
        <v>18</v>
      </c>
      <c r="E46" s="4">
        <v>28.66</v>
      </c>
      <c r="F46" s="4">
        <v>1682.4</v>
      </c>
      <c r="G46" s="4">
        <v>0.67400000000000004</v>
      </c>
      <c r="H46" s="4">
        <v>1.74</v>
      </c>
      <c r="I46" s="4">
        <v>0.27300000000000002</v>
      </c>
      <c r="J46" s="4">
        <v>117.9</v>
      </c>
      <c r="K46" t="s">
        <v>484</v>
      </c>
      <c r="L46" t="s">
        <v>488</v>
      </c>
    </row>
    <row r="47" spans="1:12" x14ac:dyDescent="0.3">
      <c r="A47" t="s">
        <v>49</v>
      </c>
      <c r="B47">
        <v>2001</v>
      </c>
      <c r="C47" s="4">
        <v>1128.3</v>
      </c>
      <c r="D47" s="4">
        <v>17.5</v>
      </c>
      <c r="E47" s="4">
        <v>28.91</v>
      </c>
      <c r="F47" s="4">
        <v>1729.6</v>
      </c>
      <c r="G47" s="4">
        <v>0.65200000000000002</v>
      </c>
      <c r="H47" s="4">
        <v>1.63</v>
      </c>
      <c r="I47" s="4">
        <v>0.28599999999999998</v>
      </c>
      <c r="J47" s="4">
        <v>115</v>
      </c>
      <c r="K47" t="s">
        <v>484</v>
      </c>
      <c r="L47" t="s">
        <v>488</v>
      </c>
    </row>
    <row r="48" spans="1:12" x14ac:dyDescent="0.3">
      <c r="A48" t="s">
        <v>49</v>
      </c>
      <c r="B48">
        <v>2002</v>
      </c>
      <c r="C48" s="4">
        <v>1069.5999999999999</v>
      </c>
      <c r="D48" s="4">
        <v>11.4</v>
      </c>
      <c r="E48" s="4">
        <v>28.62</v>
      </c>
      <c r="F48" s="4">
        <v>1725.5</v>
      </c>
      <c r="G48" s="4">
        <v>0.62</v>
      </c>
      <c r="H48" s="4">
        <v>1.1000000000000001</v>
      </c>
      <c r="I48" s="4">
        <v>0.23400000000000001</v>
      </c>
      <c r="J48" s="4">
        <v>106</v>
      </c>
      <c r="K48" t="s">
        <v>484</v>
      </c>
      <c r="L48" t="s">
        <v>488</v>
      </c>
    </row>
    <row r="49" spans="1:12" x14ac:dyDescent="0.3">
      <c r="A49" t="s">
        <v>49</v>
      </c>
      <c r="B49">
        <v>2003</v>
      </c>
      <c r="C49" s="4">
        <v>924.2</v>
      </c>
      <c r="D49" s="4">
        <v>-3.8</v>
      </c>
      <c r="E49" s="4">
        <v>29.18</v>
      </c>
      <c r="F49" s="4">
        <v>1703.6</v>
      </c>
      <c r="G49" s="4">
        <v>0.54200000000000004</v>
      </c>
      <c r="H49" s="4">
        <v>-0.48</v>
      </c>
      <c r="I49" s="4">
        <v>0.20300000000000001</v>
      </c>
      <c r="J49" s="4">
        <v>71.599999999999994</v>
      </c>
      <c r="K49" t="s">
        <v>876</v>
      </c>
      <c r="L49" t="s">
        <v>488</v>
      </c>
    </row>
    <row r="50" spans="1:12" x14ac:dyDescent="0.3">
      <c r="A50" t="s">
        <v>49</v>
      </c>
      <c r="B50">
        <v>2004</v>
      </c>
      <c r="C50" s="4">
        <v>943.3</v>
      </c>
      <c r="D50" s="4">
        <v>-1.8</v>
      </c>
      <c r="E50" s="4">
        <v>28.87</v>
      </c>
      <c r="F50" s="4">
        <v>1726.3</v>
      </c>
      <c r="G50" s="4">
        <v>0.54600000000000004</v>
      </c>
      <c r="H50" s="4">
        <v>-0.22</v>
      </c>
      <c r="I50" s="4">
        <v>0.2</v>
      </c>
      <c r="J50" s="4">
        <v>70.900000000000006</v>
      </c>
      <c r="K50" t="s">
        <v>876</v>
      </c>
      <c r="L50" t="s">
        <v>488</v>
      </c>
    </row>
    <row r="51" spans="1:12" x14ac:dyDescent="0.3">
      <c r="A51" t="s">
        <v>49</v>
      </c>
      <c r="B51">
        <v>2005</v>
      </c>
      <c r="C51" s="4">
        <v>935.8</v>
      </c>
      <c r="D51" s="4">
        <v>-2.6</v>
      </c>
      <c r="E51" s="4">
        <v>29.05</v>
      </c>
      <c r="F51" s="4">
        <v>1778</v>
      </c>
      <c r="G51" s="4">
        <v>0.52600000000000002</v>
      </c>
      <c r="H51" s="4">
        <v>-0.34</v>
      </c>
      <c r="I51" s="4">
        <v>0.2</v>
      </c>
      <c r="J51" s="4">
        <v>51.7</v>
      </c>
      <c r="K51" t="s">
        <v>876</v>
      </c>
      <c r="L51" t="s">
        <v>488</v>
      </c>
    </row>
    <row r="52" spans="1:12" x14ac:dyDescent="0.3">
      <c r="A52" t="s">
        <v>49</v>
      </c>
      <c r="B52">
        <v>2006</v>
      </c>
      <c r="C52" s="4">
        <v>741.8</v>
      </c>
      <c r="D52" s="4">
        <v>-22.8</v>
      </c>
      <c r="E52" s="4">
        <v>28.9</v>
      </c>
      <c r="F52" s="4">
        <v>1703.8</v>
      </c>
      <c r="G52" s="4">
        <v>0.435</v>
      </c>
      <c r="H52" s="4">
        <v>-2.27</v>
      </c>
      <c r="I52" s="4">
        <v>0.2</v>
      </c>
      <c r="J52" s="4">
        <v>46</v>
      </c>
      <c r="K52" t="s">
        <v>878</v>
      </c>
      <c r="L52" t="s">
        <v>488</v>
      </c>
    </row>
    <row r="53" spans="1:12" x14ac:dyDescent="0.3">
      <c r="A53" t="s">
        <v>49</v>
      </c>
      <c r="B53">
        <v>2007</v>
      </c>
      <c r="C53" s="4">
        <v>867.3</v>
      </c>
      <c r="D53" s="4">
        <v>-9.6999999999999993</v>
      </c>
      <c r="E53" s="4">
        <v>29.11</v>
      </c>
      <c r="F53" s="4">
        <v>1752.3</v>
      </c>
      <c r="G53" s="4">
        <v>0.495</v>
      </c>
      <c r="H53" s="4">
        <v>-1.04</v>
      </c>
      <c r="I53" s="4">
        <v>0.2</v>
      </c>
      <c r="J53" s="4">
        <v>53.7</v>
      </c>
      <c r="K53" t="s">
        <v>877</v>
      </c>
      <c r="L53" t="s">
        <v>488</v>
      </c>
    </row>
    <row r="54" spans="1:12" x14ac:dyDescent="0.3">
      <c r="A54" t="s">
        <v>49</v>
      </c>
      <c r="B54">
        <v>2008</v>
      </c>
      <c r="C54" s="4">
        <v>978.3</v>
      </c>
      <c r="D54" s="4">
        <v>1.9</v>
      </c>
      <c r="E54" s="4">
        <v>29.05</v>
      </c>
      <c r="F54" s="4">
        <v>1747.9</v>
      </c>
      <c r="G54" s="4">
        <v>0.56000000000000005</v>
      </c>
      <c r="H54" s="4">
        <v>0.09</v>
      </c>
      <c r="I54" s="4">
        <v>0.2</v>
      </c>
      <c r="J54" s="4">
        <v>72.7</v>
      </c>
      <c r="K54" t="s">
        <v>876</v>
      </c>
      <c r="L54" t="s">
        <v>488</v>
      </c>
    </row>
    <row r="55" spans="1:12" x14ac:dyDescent="0.3">
      <c r="A55" t="s">
        <v>49</v>
      </c>
      <c r="B55">
        <v>2009</v>
      </c>
      <c r="C55" s="4">
        <v>879.5</v>
      </c>
      <c r="D55" s="4">
        <v>-8.4</v>
      </c>
      <c r="E55" s="4">
        <v>29.19</v>
      </c>
      <c r="F55" s="4">
        <v>1733.6</v>
      </c>
      <c r="G55" s="4">
        <v>0.50700000000000001</v>
      </c>
      <c r="H55" s="4">
        <v>-0.93</v>
      </c>
      <c r="I55" s="4">
        <v>0.2</v>
      </c>
      <c r="J55" s="4">
        <v>46.9</v>
      </c>
      <c r="K55" t="s">
        <v>877</v>
      </c>
      <c r="L55" t="s">
        <v>488</v>
      </c>
    </row>
    <row r="56" spans="1:12" x14ac:dyDescent="0.3">
      <c r="A56" t="s">
        <v>49</v>
      </c>
      <c r="B56">
        <v>2010</v>
      </c>
      <c r="C56" s="4">
        <v>918.9</v>
      </c>
      <c r="D56" s="4">
        <v>-4.3</v>
      </c>
      <c r="E56" s="4">
        <v>29.13</v>
      </c>
      <c r="F56" s="4">
        <v>1763.3</v>
      </c>
      <c r="G56" s="4">
        <v>0.52100000000000002</v>
      </c>
      <c r="H56" s="4">
        <v>-0.52</v>
      </c>
      <c r="I56" s="4">
        <v>0.2</v>
      </c>
      <c r="J56" s="4">
        <v>61.8</v>
      </c>
      <c r="K56" t="s">
        <v>876</v>
      </c>
      <c r="L56" t="s">
        <v>488</v>
      </c>
    </row>
    <row r="57" spans="1:12" x14ac:dyDescent="0.3">
      <c r="A57" t="s">
        <v>49</v>
      </c>
      <c r="B57">
        <v>2011</v>
      </c>
      <c r="C57" s="4">
        <v>885.1</v>
      </c>
      <c r="D57" s="4">
        <v>-7.8</v>
      </c>
      <c r="E57" s="4">
        <v>29.47</v>
      </c>
      <c r="F57" s="4">
        <v>1816.5</v>
      </c>
      <c r="G57" s="4">
        <v>0.48699999999999999</v>
      </c>
      <c r="H57" s="4">
        <v>-0.93</v>
      </c>
      <c r="I57" s="4">
        <v>0.2</v>
      </c>
      <c r="J57" s="4">
        <v>41.3</v>
      </c>
      <c r="K57" t="s">
        <v>877</v>
      </c>
      <c r="L57" t="s">
        <v>488</v>
      </c>
    </row>
    <row r="58" spans="1:12" x14ac:dyDescent="0.3">
      <c r="A58" t="s">
        <v>49</v>
      </c>
      <c r="B58">
        <v>2012</v>
      </c>
      <c r="C58" s="4">
        <v>1087.2</v>
      </c>
      <c r="D58" s="4">
        <v>13.2</v>
      </c>
      <c r="E58" s="4">
        <v>29.47</v>
      </c>
      <c r="F58" s="4">
        <v>1709.2</v>
      </c>
      <c r="G58" s="4">
        <v>0.63600000000000001</v>
      </c>
      <c r="H58" s="4">
        <v>1.1100000000000001</v>
      </c>
      <c r="I58" s="4">
        <v>0.25600000000000001</v>
      </c>
      <c r="J58" s="4">
        <v>83.4</v>
      </c>
      <c r="K58" t="s">
        <v>484</v>
      </c>
      <c r="L58" t="s">
        <v>488</v>
      </c>
    </row>
    <row r="59" spans="1:12" x14ac:dyDescent="0.3">
      <c r="A59" t="s">
        <v>49</v>
      </c>
      <c r="B59">
        <v>2013</v>
      </c>
      <c r="C59" s="4">
        <v>887.3</v>
      </c>
      <c r="D59" s="4">
        <v>-7.6</v>
      </c>
      <c r="E59" s="4">
        <v>29.12</v>
      </c>
      <c r="F59" s="4">
        <v>1816.5</v>
      </c>
      <c r="G59" s="4">
        <v>0.48799999999999999</v>
      </c>
      <c r="H59" s="4">
        <v>-0.84</v>
      </c>
      <c r="I59" s="4">
        <v>0.2</v>
      </c>
      <c r="J59" s="4">
        <v>56.1</v>
      </c>
      <c r="K59" t="s">
        <v>877</v>
      </c>
      <c r="L59" t="s">
        <v>488</v>
      </c>
    </row>
    <row r="60" spans="1:12" x14ac:dyDescent="0.3">
      <c r="A60" t="s">
        <v>49</v>
      </c>
      <c r="B60">
        <v>2014</v>
      </c>
      <c r="C60" s="4">
        <v>1057.8</v>
      </c>
      <c r="D60" s="4">
        <v>10.1</v>
      </c>
      <c r="E60" s="4">
        <v>29.19</v>
      </c>
      <c r="F60" s="4">
        <v>1813.5</v>
      </c>
      <c r="G60" s="4">
        <v>0.58299999999999996</v>
      </c>
      <c r="H60" s="4">
        <v>0.87</v>
      </c>
      <c r="I60" s="4">
        <v>0.21</v>
      </c>
      <c r="J60" s="4">
        <v>83.6</v>
      </c>
      <c r="K60" t="s">
        <v>484</v>
      </c>
      <c r="L60" t="s">
        <v>488</v>
      </c>
    </row>
    <row r="61" spans="1:12" x14ac:dyDescent="0.3">
      <c r="A61" t="s">
        <v>49</v>
      </c>
      <c r="B61">
        <v>2015</v>
      </c>
      <c r="C61" s="4">
        <v>934.7</v>
      </c>
      <c r="D61" s="4">
        <v>-2.7</v>
      </c>
      <c r="E61" s="4">
        <v>29.45</v>
      </c>
      <c r="F61" s="4">
        <v>1789</v>
      </c>
      <c r="G61" s="4">
        <v>0.52200000000000002</v>
      </c>
      <c r="H61" s="4">
        <v>-0.43</v>
      </c>
      <c r="I61" s="4">
        <v>0.2</v>
      </c>
      <c r="J61" s="4">
        <v>64.900000000000006</v>
      </c>
      <c r="K61" t="s">
        <v>876</v>
      </c>
      <c r="L61" t="s">
        <v>488</v>
      </c>
    </row>
    <row r="62" spans="1:12" x14ac:dyDescent="0.3">
      <c r="A62" t="s">
        <v>49</v>
      </c>
      <c r="B62">
        <v>2016</v>
      </c>
      <c r="C62" s="4">
        <v>1027.8</v>
      </c>
      <c r="D62" s="4">
        <v>7</v>
      </c>
      <c r="E62" s="4">
        <v>29.52</v>
      </c>
      <c r="F62" s="4">
        <v>1880.7</v>
      </c>
      <c r="G62" s="4">
        <v>0.54600000000000004</v>
      </c>
      <c r="H62" s="4">
        <v>0.5</v>
      </c>
      <c r="I62" s="4">
        <v>0.2</v>
      </c>
      <c r="J62" s="4">
        <v>90.1</v>
      </c>
      <c r="K62" t="s">
        <v>876</v>
      </c>
      <c r="L62" t="s">
        <v>488</v>
      </c>
    </row>
    <row r="63" spans="1:12" x14ac:dyDescent="0.3">
      <c r="A63" t="s">
        <v>49</v>
      </c>
      <c r="B63">
        <v>2017</v>
      </c>
      <c r="C63" s="4">
        <v>1016.7</v>
      </c>
      <c r="D63" s="4">
        <v>5.9</v>
      </c>
      <c r="E63" s="4">
        <v>29.42</v>
      </c>
      <c r="F63" s="4">
        <v>1820.4</v>
      </c>
      <c r="G63" s="4">
        <v>0.55900000000000005</v>
      </c>
      <c r="H63" s="4">
        <v>0.41</v>
      </c>
      <c r="I63" s="4">
        <v>0.2</v>
      </c>
      <c r="J63" s="4">
        <v>80.599999999999994</v>
      </c>
      <c r="K63" t="s">
        <v>876</v>
      </c>
      <c r="L63" t="s">
        <v>488</v>
      </c>
    </row>
    <row r="64" spans="1:12" x14ac:dyDescent="0.3">
      <c r="A64" t="s">
        <v>49</v>
      </c>
      <c r="B64">
        <v>2018</v>
      </c>
      <c r="C64" s="4">
        <v>1016.7</v>
      </c>
      <c r="D64" s="4">
        <v>5.9</v>
      </c>
      <c r="E64" s="4">
        <v>29.21</v>
      </c>
      <c r="F64" s="4">
        <v>1737.8</v>
      </c>
      <c r="G64" s="4">
        <v>0.58499999999999996</v>
      </c>
      <c r="H64" s="4">
        <v>0.45</v>
      </c>
      <c r="I64" s="4">
        <v>0.2</v>
      </c>
      <c r="J64" s="4">
        <v>86</v>
      </c>
      <c r="K64" t="s">
        <v>876</v>
      </c>
      <c r="L64" t="s">
        <v>488</v>
      </c>
    </row>
    <row r="65" spans="1:12" x14ac:dyDescent="0.3">
      <c r="A65" t="s">
        <v>49</v>
      </c>
      <c r="B65">
        <v>2019</v>
      </c>
      <c r="C65" s="4">
        <v>888</v>
      </c>
      <c r="D65" s="4">
        <v>-7.5</v>
      </c>
      <c r="E65" s="4">
        <v>29.41</v>
      </c>
      <c r="F65" s="4">
        <v>1880.7</v>
      </c>
      <c r="G65" s="4">
        <v>0.47199999999999998</v>
      </c>
      <c r="H65" s="4">
        <v>-0.89</v>
      </c>
      <c r="I65" s="4">
        <v>0.2</v>
      </c>
      <c r="J65" s="4">
        <v>53.9</v>
      </c>
      <c r="K65" t="s">
        <v>877</v>
      </c>
      <c r="L65" t="s">
        <v>488</v>
      </c>
    </row>
    <row r="66" spans="1:12" x14ac:dyDescent="0.3">
      <c r="A66" t="s">
        <v>49</v>
      </c>
      <c r="B66">
        <v>2020</v>
      </c>
      <c r="C66" s="4">
        <v>859.7</v>
      </c>
      <c r="D66" s="4">
        <v>-10.5</v>
      </c>
      <c r="E66" s="4">
        <v>29.65</v>
      </c>
      <c r="F66" s="4">
        <v>1852.3</v>
      </c>
      <c r="G66" s="4">
        <v>0.46400000000000002</v>
      </c>
      <c r="H66" s="4">
        <v>-1.23</v>
      </c>
      <c r="I66" s="4">
        <v>0.2</v>
      </c>
      <c r="J66" s="4">
        <v>46.7</v>
      </c>
      <c r="K66" t="s">
        <v>877</v>
      </c>
      <c r="L66" t="s">
        <v>488</v>
      </c>
    </row>
    <row r="67" spans="1:12" x14ac:dyDescent="0.3">
      <c r="A67" t="s">
        <v>49</v>
      </c>
      <c r="B67">
        <v>2021</v>
      </c>
      <c r="C67" s="4">
        <v>917.1</v>
      </c>
      <c r="D67" s="4">
        <v>-4.5</v>
      </c>
      <c r="E67" s="4">
        <v>29.5</v>
      </c>
      <c r="F67" s="4">
        <v>1824.5</v>
      </c>
      <c r="G67" s="4">
        <v>0.503</v>
      </c>
      <c r="H67" s="4">
        <v>-0.62</v>
      </c>
      <c r="I67" s="4">
        <v>0.2</v>
      </c>
      <c r="J67" s="4">
        <v>52.7</v>
      </c>
      <c r="K67" t="s">
        <v>876</v>
      </c>
      <c r="L67" t="s">
        <v>488</v>
      </c>
    </row>
    <row r="68" spans="1:12" x14ac:dyDescent="0.3">
      <c r="A68" t="s">
        <v>49</v>
      </c>
      <c r="B68">
        <v>2022</v>
      </c>
      <c r="C68" s="4">
        <v>994.4</v>
      </c>
      <c r="D68" s="4">
        <v>3.6</v>
      </c>
      <c r="E68" s="4">
        <v>29.74</v>
      </c>
      <c r="F68" s="4">
        <v>1860.8</v>
      </c>
      <c r="G68" s="4">
        <v>0.53400000000000003</v>
      </c>
      <c r="H68" s="4">
        <v>0.12</v>
      </c>
      <c r="I68" s="4">
        <v>0.2</v>
      </c>
      <c r="J68" s="4">
        <v>74.8</v>
      </c>
      <c r="K68" t="s">
        <v>876</v>
      </c>
      <c r="L68" t="s">
        <v>488</v>
      </c>
    </row>
    <row r="69" spans="1:12" x14ac:dyDescent="0.3">
      <c r="A69" t="s">
        <v>49</v>
      </c>
      <c r="B69">
        <v>2023</v>
      </c>
      <c r="C69" s="4">
        <v>866.3</v>
      </c>
      <c r="D69" s="4">
        <v>-9.8000000000000007</v>
      </c>
      <c r="E69" s="4">
        <v>29.91</v>
      </c>
      <c r="F69" s="4">
        <v>1840.2</v>
      </c>
      <c r="G69" s="4">
        <v>0.47099999999999997</v>
      </c>
      <c r="H69" s="4">
        <v>-1.21</v>
      </c>
      <c r="I69" s="4">
        <v>0.2</v>
      </c>
      <c r="J69" s="4">
        <v>56.7</v>
      </c>
      <c r="K69" t="s">
        <v>877</v>
      </c>
      <c r="L69" t="s">
        <v>488</v>
      </c>
    </row>
    <row r="70" spans="1:12" x14ac:dyDescent="0.3">
      <c r="A70" t="s">
        <v>49</v>
      </c>
      <c r="B70">
        <v>2024</v>
      </c>
      <c r="C70" s="4">
        <v>733.8</v>
      </c>
      <c r="D70" s="4">
        <v>-23.6</v>
      </c>
      <c r="E70" s="4">
        <v>30.03</v>
      </c>
      <c r="F70" s="4">
        <v>1798.3</v>
      </c>
      <c r="G70" s="4">
        <v>0.40799999999999997</v>
      </c>
      <c r="H70" s="4">
        <v>-2.5</v>
      </c>
      <c r="I70" s="4">
        <v>0.2</v>
      </c>
      <c r="J70" s="4">
        <v>33.5</v>
      </c>
      <c r="K70" t="s">
        <v>878</v>
      </c>
      <c r="L70" t="s">
        <v>488</v>
      </c>
    </row>
    <row r="71" spans="1:12" x14ac:dyDescent="0.3">
      <c r="A71" t="s">
        <v>49</v>
      </c>
      <c r="B71">
        <v>2025</v>
      </c>
      <c r="C71" s="4">
        <v>851.8</v>
      </c>
      <c r="D71" s="4">
        <v>-11.3</v>
      </c>
      <c r="E71" s="4">
        <v>29.69</v>
      </c>
      <c r="F71" s="4">
        <v>1805.3</v>
      </c>
      <c r="G71" s="4">
        <v>0.47199999999999998</v>
      </c>
      <c r="H71" s="4">
        <v>-1.31</v>
      </c>
      <c r="I71" s="4">
        <v>0.2</v>
      </c>
      <c r="J71" s="4">
        <v>47.1</v>
      </c>
      <c r="K71" t="s">
        <v>878</v>
      </c>
      <c r="L71" t="s">
        <v>488</v>
      </c>
    </row>
    <row r="72" spans="1:12" x14ac:dyDescent="0.3">
      <c r="A72" t="s">
        <v>32</v>
      </c>
      <c r="B72">
        <v>1991</v>
      </c>
      <c r="C72" s="4">
        <v>1072.4000000000001</v>
      </c>
      <c r="D72" s="4">
        <v>19.100000000000001</v>
      </c>
      <c r="E72" s="4">
        <v>28.88</v>
      </c>
      <c r="F72" s="4">
        <v>1699.5</v>
      </c>
      <c r="G72" s="4">
        <v>0.63100000000000001</v>
      </c>
      <c r="H72" s="4">
        <v>1.27</v>
      </c>
      <c r="I72" s="4">
        <v>0.32900000000000001</v>
      </c>
      <c r="J72" s="4">
        <v>103.6</v>
      </c>
      <c r="K72" t="s">
        <v>484</v>
      </c>
      <c r="L72" t="s">
        <v>488</v>
      </c>
    </row>
    <row r="73" spans="1:12" x14ac:dyDescent="0.3">
      <c r="A73" t="s">
        <v>32</v>
      </c>
      <c r="B73">
        <v>1992</v>
      </c>
      <c r="C73" s="4">
        <v>1123.9000000000001</v>
      </c>
      <c r="D73" s="4">
        <v>24.8</v>
      </c>
      <c r="E73" s="4">
        <v>28.93</v>
      </c>
      <c r="F73" s="4">
        <v>1678.4</v>
      </c>
      <c r="G73" s="4">
        <v>0.67</v>
      </c>
      <c r="H73" s="4">
        <v>1.63</v>
      </c>
      <c r="I73" s="4">
        <v>0.32400000000000001</v>
      </c>
      <c r="J73" s="4">
        <v>102.2</v>
      </c>
      <c r="K73" t="s">
        <v>484</v>
      </c>
      <c r="L73" t="s">
        <v>488</v>
      </c>
    </row>
    <row r="74" spans="1:12" x14ac:dyDescent="0.3">
      <c r="A74" t="s">
        <v>32</v>
      </c>
      <c r="B74">
        <v>1993</v>
      </c>
      <c r="C74" s="4">
        <v>1077.7</v>
      </c>
      <c r="D74" s="4">
        <v>19.7</v>
      </c>
      <c r="E74" s="4">
        <v>29.17</v>
      </c>
      <c r="F74" s="4">
        <v>1665.9</v>
      </c>
      <c r="G74" s="4">
        <v>0.64700000000000002</v>
      </c>
      <c r="H74" s="4">
        <v>1.25</v>
      </c>
      <c r="I74" s="4">
        <v>0.27800000000000002</v>
      </c>
      <c r="J74" s="4">
        <v>107.7</v>
      </c>
      <c r="K74" t="s">
        <v>484</v>
      </c>
      <c r="L74" t="s">
        <v>488</v>
      </c>
    </row>
    <row r="75" spans="1:12" x14ac:dyDescent="0.3">
      <c r="A75" t="s">
        <v>32</v>
      </c>
      <c r="B75">
        <v>1994</v>
      </c>
      <c r="C75" s="4">
        <v>1006.9</v>
      </c>
      <c r="D75" s="4">
        <v>11.8</v>
      </c>
      <c r="E75" s="4">
        <v>29.2</v>
      </c>
      <c r="F75" s="4">
        <v>1650.2</v>
      </c>
      <c r="G75" s="4">
        <v>0.61</v>
      </c>
      <c r="H75" s="4">
        <v>0.73</v>
      </c>
      <c r="I75" s="4">
        <v>0.27500000000000002</v>
      </c>
      <c r="J75" s="4">
        <v>86.5</v>
      </c>
      <c r="K75" t="s">
        <v>876</v>
      </c>
      <c r="L75" t="s">
        <v>488</v>
      </c>
    </row>
    <row r="76" spans="1:12" x14ac:dyDescent="0.3">
      <c r="A76" t="s">
        <v>32</v>
      </c>
      <c r="B76">
        <v>1995</v>
      </c>
      <c r="C76" s="4">
        <v>922.3</v>
      </c>
      <c r="D76" s="4">
        <v>2.5</v>
      </c>
      <c r="E76" s="4">
        <v>29.06</v>
      </c>
      <c r="F76" s="4">
        <v>1763.4</v>
      </c>
      <c r="G76" s="4">
        <v>0.52300000000000002</v>
      </c>
      <c r="H76" s="4">
        <v>0.15</v>
      </c>
      <c r="I76" s="4">
        <v>0.2</v>
      </c>
      <c r="J76" s="4">
        <v>61.3</v>
      </c>
      <c r="K76" t="s">
        <v>876</v>
      </c>
      <c r="L76" t="s">
        <v>488</v>
      </c>
    </row>
    <row r="77" spans="1:12" x14ac:dyDescent="0.3">
      <c r="A77" t="s">
        <v>32</v>
      </c>
      <c r="B77">
        <v>1996</v>
      </c>
      <c r="C77" s="4">
        <v>1002.9</v>
      </c>
      <c r="D77" s="4">
        <v>11.4</v>
      </c>
      <c r="E77" s="4">
        <v>29.26</v>
      </c>
      <c r="F77" s="4">
        <v>1817.3</v>
      </c>
      <c r="G77" s="4">
        <v>0.55200000000000005</v>
      </c>
      <c r="H77" s="4">
        <v>0.69</v>
      </c>
      <c r="I77" s="4">
        <v>0.2</v>
      </c>
      <c r="J77" s="4">
        <v>75.599999999999994</v>
      </c>
      <c r="K77" t="s">
        <v>876</v>
      </c>
      <c r="L77" t="s">
        <v>488</v>
      </c>
    </row>
    <row r="78" spans="1:12" x14ac:dyDescent="0.3">
      <c r="A78" t="s">
        <v>32</v>
      </c>
      <c r="B78">
        <v>1997</v>
      </c>
      <c r="C78" s="4">
        <v>959.9</v>
      </c>
      <c r="D78" s="4">
        <v>6.6</v>
      </c>
      <c r="E78" s="4">
        <v>29.28</v>
      </c>
      <c r="F78" s="4">
        <v>1702.5</v>
      </c>
      <c r="G78" s="4">
        <v>0.56399999999999995</v>
      </c>
      <c r="H78" s="4">
        <v>0.37</v>
      </c>
      <c r="I78" s="4">
        <v>0.255</v>
      </c>
      <c r="J78" s="4">
        <v>77.2</v>
      </c>
      <c r="K78" t="s">
        <v>876</v>
      </c>
      <c r="L78" t="s">
        <v>488</v>
      </c>
    </row>
    <row r="79" spans="1:12" x14ac:dyDescent="0.3">
      <c r="A79" t="s">
        <v>32</v>
      </c>
      <c r="B79">
        <v>1998</v>
      </c>
      <c r="C79" s="4">
        <v>882.9</v>
      </c>
      <c r="D79" s="4">
        <v>-1.9</v>
      </c>
      <c r="E79" s="4">
        <v>29.32</v>
      </c>
      <c r="F79" s="4">
        <v>1719.3</v>
      </c>
      <c r="G79" s="4">
        <v>0.51400000000000001</v>
      </c>
      <c r="H79" s="4">
        <v>-0.19</v>
      </c>
      <c r="I79" s="4">
        <v>0.20399999999999999</v>
      </c>
      <c r="J79" s="4">
        <v>64.8</v>
      </c>
      <c r="K79" t="s">
        <v>876</v>
      </c>
      <c r="L79" t="s">
        <v>488</v>
      </c>
    </row>
    <row r="80" spans="1:12" x14ac:dyDescent="0.3">
      <c r="A80" t="s">
        <v>32</v>
      </c>
      <c r="B80">
        <v>1999</v>
      </c>
      <c r="C80" s="4">
        <v>1006.5</v>
      </c>
      <c r="D80" s="4">
        <v>11.8</v>
      </c>
      <c r="E80" s="4">
        <v>29.36</v>
      </c>
      <c r="F80" s="4">
        <v>1742.8</v>
      </c>
      <c r="G80" s="4">
        <v>0.57699999999999996</v>
      </c>
      <c r="H80" s="4">
        <v>0.7</v>
      </c>
      <c r="I80" s="4">
        <v>0.28799999999999998</v>
      </c>
      <c r="J80" s="4">
        <v>73</v>
      </c>
      <c r="K80" t="s">
        <v>876</v>
      </c>
      <c r="L80" t="s">
        <v>488</v>
      </c>
    </row>
    <row r="81" spans="1:12" x14ac:dyDescent="0.3">
      <c r="A81" t="s">
        <v>32</v>
      </c>
      <c r="B81">
        <v>2000</v>
      </c>
      <c r="C81" s="4">
        <v>953.8</v>
      </c>
      <c r="D81" s="4">
        <v>5.9</v>
      </c>
      <c r="E81" s="4">
        <v>29.5</v>
      </c>
      <c r="F81" s="4">
        <v>1757.6</v>
      </c>
      <c r="G81" s="4">
        <v>0.54300000000000004</v>
      </c>
      <c r="H81" s="4">
        <v>0.28999999999999998</v>
      </c>
      <c r="I81" s="4">
        <v>0.2</v>
      </c>
      <c r="J81" s="4">
        <v>66.099999999999994</v>
      </c>
      <c r="K81" t="s">
        <v>876</v>
      </c>
      <c r="L81" t="s">
        <v>488</v>
      </c>
    </row>
    <row r="82" spans="1:12" x14ac:dyDescent="0.3">
      <c r="A82" t="s">
        <v>32</v>
      </c>
      <c r="B82">
        <v>2001</v>
      </c>
      <c r="C82" s="4">
        <v>979.4</v>
      </c>
      <c r="D82" s="4">
        <v>8.8000000000000007</v>
      </c>
      <c r="E82" s="4">
        <v>29.32</v>
      </c>
      <c r="F82" s="4">
        <v>1771.3</v>
      </c>
      <c r="G82" s="4">
        <v>0.55300000000000005</v>
      </c>
      <c r="H82" s="4">
        <v>0.51</v>
      </c>
      <c r="I82" s="4">
        <v>0.23499999999999999</v>
      </c>
      <c r="J82" s="4">
        <v>73.7</v>
      </c>
      <c r="K82" t="s">
        <v>876</v>
      </c>
      <c r="L82" t="s">
        <v>488</v>
      </c>
    </row>
    <row r="83" spans="1:12" x14ac:dyDescent="0.3">
      <c r="A83" t="s">
        <v>32</v>
      </c>
      <c r="B83">
        <v>2002</v>
      </c>
      <c r="C83" s="4">
        <v>956.2</v>
      </c>
      <c r="D83" s="4">
        <v>6.2</v>
      </c>
      <c r="E83" s="4">
        <v>29.5</v>
      </c>
      <c r="F83" s="4">
        <v>1690.7</v>
      </c>
      <c r="G83" s="4">
        <v>0.56599999999999995</v>
      </c>
      <c r="H83" s="4">
        <v>0.3</v>
      </c>
      <c r="I83" s="4">
        <v>0.20200000000000001</v>
      </c>
      <c r="J83" s="4">
        <v>77.8</v>
      </c>
      <c r="K83" t="s">
        <v>876</v>
      </c>
      <c r="L83" t="s">
        <v>488</v>
      </c>
    </row>
    <row r="84" spans="1:12" x14ac:dyDescent="0.3">
      <c r="A84" t="s">
        <v>32</v>
      </c>
      <c r="B84">
        <v>2003</v>
      </c>
      <c r="C84" s="4">
        <v>870.2</v>
      </c>
      <c r="D84" s="4">
        <v>-3.3</v>
      </c>
      <c r="E84" s="4">
        <v>29.39</v>
      </c>
      <c r="F84" s="4">
        <v>1846.4</v>
      </c>
      <c r="G84" s="4">
        <v>0.47099999999999997</v>
      </c>
      <c r="H84" s="4">
        <v>-0.3</v>
      </c>
      <c r="I84" s="4">
        <v>0.2</v>
      </c>
      <c r="J84" s="4">
        <v>50.2</v>
      </c>
      <c r="K84" t="s">
        <v>876</v>
      </c>
      <c r="L84" t="s">
        <v>488</v>
      </c>
    </row>
    <row r="85" spans="1:12" x14ac:dyDescent="0.3">
      <c r="A85" t="s">
        <v>32</v>
      </c>
      <c r="B85">
        <v>2004</v>
      </c>
      <c r="C85" s="4">
        <v>997.4</v>
      </c>
      <c r="D85" s="4">
        <v>10.8</v>
      </c>
      <c r="E85" s="4">
        <v>29.36</v>
      </c>
      <c r="F85" s="4">
        <v>1770.4</v>
      </c>
      <c r="G85" s="4">
        <v>0.56299999999999994</v>
      </c>
      <c r="H85" s="4">
        <v>0.63</v>
      </c>
      <c r="I85" s="4">
        <v>0.2</v>
      </c>
      <c r="J85" s="4">
        <v>74.7</v>
      </c>
      <c r="K85" t="s">
        <v>876</v>
      </c>
      <c r="L85" t="s">
        <v>488</v>
      </c>
    </row>
    <row r="86" spans="1:12" x14ac:dyDescent="0.3">
      <c r="A86" t="s">
        <v>32</v>
      </c>
      <c r="B86">
        <v>2005</v>
      </c>
      <c r="C86" s="4">
        <v>916.3</v>
      </c>
      <c r="D86" s="4">
        <v>1.8</v>
      </c>
      <c r="E86" s="4">
        <v>29.55</v>
      </c>
      <c r="F86" s="4">
        <v>1806.8</v>
      </c>
      <c r="G86" s="4">
        <v>0.50700000000000001</v>
      </c>
      <c r="H86" s="4">
        <v>0.01</v>
      </c>
      <c r="I86" s="4">
        <v>0.2</v>
      </c>
      <c r="J86" s="4">
        <v>52.7</v>
      </c>
      <c r="K86" t="s">
        <v>876</v>
      </c>
      <c r="L86" t="s">
        <v>488</v>
      </c>
    </row>
    <row r="87" spans="1:12" x14ac:dyDescent="0.3">
      <c r="A87" t="s">
        <v>32</v>
      </c>
      <c r="B87">
        <v>2006</v>
      </c>
      <c r="C87" s="4">
        <v>850.4</v>
      </c>
      <c r="D87" s="4">
        <v>-5.5</v>
      </c>
      <c r="E87" s="4">
        <v>29.39</v>
      </c>
      <c r="F87" s="4">
        <v>1808.3</v>
      </c>
      <c r="G87" s="4">
        <v>0.47</v>
      </c>
      <c r="H87" s="4">
        <v>-0.44</v>
      </c>
      <c r="I87" s="4">
        <v>0.2</v>
      </c>
      <c r="J87" s="4">
        <v>57.2</v>
      </c>
      <c r="K87" t="s">
        <v>876</v>
      </c>
      <c r="L87" t="s">
        <v>488</v>
      </c>
    </row>
    <row r="88" spans="1:12" x14ac:dyDescent="0.3">
      <c r="A88" t="s">
        <v>32</v>
      </c>
      <c r="B88">
        <v>2007</v>
      </c>
      <c r="C88" s="4">
        <v>955.6</v>
      </c>
      <c r="D88" s="4">
        <v>6.1</v>
      </c>
      <c r="E88" s="4">
        <v>29.72</v>
      </c>
      <c r="F88" s="4">
        <v>1803.8</v>
      </c>
      <c r="G88" s="4">
        <v>0.53</v>
      </c>
      <c r="H88" s="4">
        <v>0.25</v>
      </c>
      <c r="I88" s="4">
        <v>0.2</v>
      </c>
      <c r="J88" s="4">
        <v>74.3</v>
      </c>
      <c r="K88" t="s">
        <v>876</v>
      </c>
      <c r="L88" t="s">
        <v>488</v>
      </c>
    </row>
    <row r="89" spans="1:12" x14ac:dyDescent="0.3">
      <c r="A89" t="s">
        <v>32</v>
      </c>
      <c r="B89">
        <v>2008</v>
      </c>
      <c r="C89" s="4">
        <v>1057.5</v>
      </c>
      <c r="D89" s="4">
        <v>17.5</v>
      </c>
      <c r="E89" s="4">
        <v>29.1</v>
      </c>
      <c r="F89" s="4">
        <v>1729.6</v>
      </c>
      <c r="G89" s="4">
        <v>0.61099999999999999</v>
      </c>
      <c r="H89" s="4">
        <v>1.1200000000000001</v>
      </c>
      <c r="I89" s="4">
        <v>0.23899999999999999</v>
      </c>
      <c r="J89" s="4">
        <v>97.8</v>
      </c>
      <c r="K89" t="s">
        <v>484</v>
      </c>
      <c r="L89" t="s">
        <v>488</v>
      </c>
    </row>
    <row r="90" spans="1:12" x14ac:dyDescent="0.3">
      <c r="A90" t="s">
        <v>32</v>
      </c>
      <c r="B90">
        <v>2009</v>
      </c>
      <c r="C90" s="4">
        <v>603.20000000000005</v>
      </c>
      <c r="D90" s="4">
        <v>-33</v>
      </c>
      <c r="E90" s="4">
        <v>29.32</v>
      </c>
      <c r="F90" s="4">
        <v>1764.1</v>
      </c>
      <c r="G90" s="4">
        <v>0.34200000000000003</v>
      </c>
      <c r="H90" s="4">
        <v>-2.21</v>
      </c>
      <c r="I90" s="4">
        <v>0.2</v>
      </c>
      <c r="J90" s="4">
        <v>7.7</v>
      </c>
      <c r="K90" t="s">
        <v>878</v>
      </c>
      <c r="L90" t="s">
        <v>488</v>
      </c>
    </row>
    <row r="91" spans="1:12" x14ac:dyDescent="0.3">
      <c r="A91" t="s">
        <v>32</v>
      </c>
      <c r="B91">
        <v>2010</v>
      </c>
      <c r="C91" s="4">
        <v>818.8</v>
      </c>
      <c r="D91" s="4">
        <v>-9.1</v>
      </c>
      <c r="E91" s="4">
        <v>29.5</v>
      </c>
      <c r="F91" s="4">
        <v>1833.9</v>
      </c>
      <c r="G91" s="4">
        <v>0.44600000000000001</v>
      </c>
      <c r="H91" s="4">
        <v>-0.69</v>
      </c>
      <c r="I91" s="4">
        <v>0.2</v>
      </c>
      <c r="J91" s="4">
        <v>39.5</v>
      </c>
      <c r="K91" t="s">
        <v>876</v>
      </c>
      <c r="L91" t="s">
        <v>488</v>
      </c>
    </row>
    <row r="92" spans="1:12" x14ac:dyDescent="0.3">
      <c r="A92" t="s">
        <v>32</v>
      </c>
      <c r="B92">
        <v>2011</v>
      </c>
      <c r="C92" s="4">
        <v>964.7</v>
      </c>
      <c r="D92" s="4">
        <v>7.2</v>
      </c>
      <c r="E92" s="4">
        <v>29.57</v>
      </c>
      <c r="F92" s="4">
        <v>1804.4</v>
      </c>
      <c r="G92" s="4">
        <v>0.53500000000000003</v>
      </c>
      <c r="H92" s="4">
        <v>0.35</v>
      </c>
      <c r="I92" s="4">
        <v>0.2</v>
      </c>
      <c r="J92" s="4">
        <v>54.5</v>
      </c>
      <c r="K92" t="s">
        <v>876</v>
      </c>
      <c r="L92" t="s">
        <v>488</v>
      </c>
    </row>
    <row r="93" spans="1:12" x14ac:dyDescent="0.3">
      <c r="A93" t="s">
        <v>32</v>
      </c>
      <c r="B93">
        <v>2012</v>
      </c>
      <c r="C93" s="4">
        <v>745.5</v>
      </c>
      <c r="D93" s="4">
        <v>-17.2</v>
      </c>
      <c r="E93" s="4">
        <v>29.37</v>
      </c>
      <c r="F93" s="4">
        <v>1779.4</v>
      </c>
      <c r="G93" s="4">
        <v>0.41899999999999998</v>
      </c>
      <c r="H93" s="4">
        <v>-1.19</v>
      </c>
      <c r="I93" s="4">
        <v>0.2</v>
      </c>
      <c r="J93" s="4">
        <v>32.1</v>
      </c>
      <c r="K93" t="s">
        <v>877</v>
      </c>
      <c r="L93" t="s">
        <v>488</v>
      </c>
    </row>
    <row r="94" spans="1:12" x14ac:dyDescent="0.3">
      <c r="A94" t="s">
        <v>32</v>
      </c>
      <c r="B94">
        <v>2013</v>
      </c>
      <c r="C94" s="4">
        <v>828.7</v>
      </c>
      <c r="D94" s="4">
        <v>-8</v>
      </c>
      <c r="E94" s="4">
        <v>29.96</v>
      </c>
      <c r="F94" s="4">
        <v>1808.6</v>
      </c>
      <c r="G94" s="4">
        <v>0.45800000000000002</v>
      </c>
      <c r="H94" s="4">
        <v>-0.71</v>
      </c>
      <c r="I94" s="4">
        <v>0.2</v>
      </c>
      <c r="J94" s="4">
        <v>59.8</v>
      </c>
      <c r="K94" t="s">
        <v>877</v>
      </c>
      <c r="L94" t="s">
        <v>488</v>
      </c>
    </row>
    <row r="95" spans="1:12" x14ac:dyDescent="0.3">
      <c r="A95" t="s">
        <v>32</v>
      </c>
      <c r="B95">
        <v>2014</v>
      </c>
      <c r="C95" s="4">
        <v>893.1</v>
      </c>
      <c r="D95" s="4">
        <v>-0.8</v>
      </c>
      <c r="E95" s="4">
        <v>29.6</v>
      </c>
      <c r="F95" s="4">
        <v>1934.3</v>
      </c>
      <c r="G95" s="4">
        <v>0.46200000000000002</v>
      </c>
      <c r="H95" s="4">
        <v>-0.17</v>
      </c>
      <c r="I95" s="4">
        <v>0.2</v>
      </c>
      <c r="J95" s="4">
        <v>45.7</v>
      </c>
      <c r="K95" t="s">
        <v>876</v>
      </c>
      <c r="L95" t="s">
        <v>488</v>
      </c>
    </row>
    <row r="96" spans="1:12" x14ac:dyDescent="0.3">
      <c r="A96" t="s">
        <v>32</v>
      </c>
      <c r="B96">
        <v>2015</v>
      </c>
      <c r="C96" s="4">
        <v>932.6</v>
      </c>
      <c r="D96" s="4">
        <v>3.6</v>
      </c>
      <c r="E96" s="4">
        <v>29.69</v>
      </c>
      <c r="F96" s="4">
        <v>1856.8</v>
      </c>
      <c r="G96" s="4">
        <v>0.502</v>
      </c>
      <c r="H96" s="4">
        <v>0.1</v>
      </c>
      <c r="I96" s="4">
        <v>0.2</v>
      </c>
      <c r="J96" s="4">
        <v>69.099999999999994</v>
      </c>
      <c r="K96" t="s">
        <v>876</v>
      </c>
      <c r="L96" t="s">
        <v>488</v>
      </c>
    </row>
    <row r="97" spans="1:12" x14ac:dyDescent="0.3">
      <c r="A97" t="s">
        <v>32</v>
      </c>
      <c r="B97">
        <v>2016</v>
      </c>
      <c r="C97" s="4">
        <v>886.9</v>
      </c>
      <c r="D97" s="4">
        <v>-1.5</v>
      </c>
      <c r="E97" s="4">
        <v>29.98</v>
      </c>
      <c r="F97" s="4">
        <v>1820.7</v>
      </c>
      <c r="G97" s="4">
        <v>0.48699999999999999</v>
      </c>
      <c r="H97" s="4">
        <v>-0.28999999999999998</v>
      </c>
      <c r="I97" s="4">
        <v>0.2</v>
      </c>
      <c r="J97" s="4">
        <v>58.7</v>
      </c>
      <c r="K97" t="s">
        <v>876</v>
      </c>
      <c r="L97" t="s">
        <v>488</v>
      </c>
    </row>
    <row r="98" spans="1:12" x14ac:dyDescent="0.3">
      <c r="A98" t="s">
        <v>32</v>
      </c>
      <c r="B98">
        <v>2017</v>
      </c>
      <c r="C98" s="4">
        <v>973.6</v>
      </c>
      <c r="D98" s="4">
        <v>8.1</v>
      </c>
      <c r="E98" s="4">
        <v>30.12</v>
      </c>
      <c r="F98" s="4">
        <v>1861</v>
      </c>
      <c r="G98" s="4">
        <v>0.52300000000000002</v>
      </c>
      <c r="H98" s="4">
        <v>0.31</v>
      </c>
      <c r="I98" s="4">
        <v>0.2</v>
      </c>
      <c r="J98" s="4">
        <v>64.2</v>
      </c>
      <c r="K98" t="s">
        <v>876</v>
      </c>
      <c r="L98" t="s">
        <v>488</v>
      </c>
    </row>
    <row r="99" spans="1:12" x14ac:dyDescent="0.3">
      <c r="A99" t="s">
        <v>32</v>
      </c>
      <c r="B99">
        <v>2018</v>
      </c>
      <c r="C99" s="4">
        <v>922</v>
      </c>
      <c r="D99" s="4">
        <v>2.4</v>
      </c>
      <c r="E99" s="4">
        <v>29.88</v>
      </c>
      <c r="F99" s="4">
        <v>1859.1</v>
      </c>
      <c r="G99" s="4">
        <v>0.496</v>
      </c>
      <c r="H99" s="4">
        <v>-0.02</v>
      </c>
      <c r="I99" s="4">
        <v>0.2</v>
      </c>
      <c r="J99" s="4">
        <v>71.7</v>
      </c>
      <c r="K99" t="s">
        <v>876</v>
      </c>
      <c r="L99" t="s">
        <v>488</v>
      </c>
    </row>
    <row r="100" spans="1:12" x14ac:dyDescent="0.3">
      <c r="A100" t="s">
        <v>32</v>
      </c>
      <c r="B100">
        <v>2019</v>
      </c>
      <c r="C100" s="4">
        <v>986.6</v>
      </c>
      <c r="D100" s="4">
        <v>9.6</v>
      </c>
      <c r="E100" s="4">
        <v>30.03</v>
      </c>
      <c r="F100" s="4">
        <v>1791.3</v>
      </c>
      <c r="G100" s="4">
        <v>0.55100000000000005</v>
      </c>
      <c r="H100" s="4">
        <v>0.42</v>
      </c>
      <c r="I100" s="4">
        <v>0.2</v>
      </c>
      <c r="J100" s="4">
        <v>75.900000000000006</v>
      </c>
      <c r="K100" t="s">
        <v>876</v>
      </c>
      <c r="L100" t="s">
        <v>488</v>
      </c>
    </row>
    <row r="101" spans="1:12" x14ac:dyDescent="0.3">
      <c r="A101" t="s">
        <v>32</v>
      </c>
      <c r="B101">
        <v>2020</v>
      </c>
      <c r="C101" s="4">
        <v>1039.4000000000001</v>
      </c>
      <c r="D101" s="4">
        <v>15.5</v>
      </c>
      <c r="E101" s="4">
        <v>30.04</v>
      </c>
      <c r="F101" s="4">
        <v>1847.7</v>
      </c>
      <c r="G101" s="4">
        <v>0.56299999999999994</v>
      </c>
      <c r="H101" s="4">
        <v>0.8</v>
      </c>
      <c r="I101" s="4">
        <v>0.2</v>
      </c>
      <c r="J101" s="4">
        <v>83.3</v>
      </c>
      <c r="K101" t="s">
        <v>876</v>
      </c>
      <c r="L101" t="s">
        <v>488</v>
      </c>
    </row>
    <row r="102" spans="1:12" x14ac:dyDescent="0.3">
      <c r="A102" t="s">
        <v>32</v>
      </c>
      <c r="B102">
        <v>2021</v>
      </c>
      <c r="C102" s="4">
        <v>699.8</v>
      </c>
      <c r="D102" s="4">
        <v>-22.3</v>
      </c>
      <c r="E102" s="4">
        <v>29.91</v>
      </c>
      <c r="F102" s="4">
        <v>1892.3</v>
      </c>
      <c r="G102" s="4">
        <v>0.37</v>
      </c>
      <c r="H102" s="4">
        <v>-1.63</v>
      </c>
      <c r="I102" s="4">
        <v>0.2</v>
      </c>
      <c r="J102" s="4">
        <v>38.5</v>
      </c>
      <c r="K102" t="s">
        <v>878</v>
      </c>
      <c r="L102" t="s">
        <v>488</v>
      </c>
    </row>
    <row r="103" spans="1:12" x14ac:dyDescent="0.3">
      <c r="A103" t="s">
        <v>32</v>
      </c>
      <c r="B103">
        <v>2022</v>
      </c>
      <c r="C103" s="4">
        <v>667.2</v>
      </c>
      <c r="D103" s="4">
        <v>-25.9</v>
      </c>
      <c r="E103" s="4">
        <v>30.21</v>
      </c>
      <c r="F103" s="4">
        <v>1975</v>
      </c>
      <c r="G103" s="4">
        <v>0.33800000000000002</v>
      </c>
      <c r="H103" s="4">
        <v>-1.92</v>
      </c>
      <c r="I103" s="4">
        <v>0.2</v>
      </c>
      <c r="J103" s="4">
        <v>11.1</v>
      </c>
      <c r="K103" t="s">
        <v>878</v>
      </c>
      <c r="L103" t="s">
        <v>488</v>
      </c>
    </row>
    <row r="104" spans="1:12" x14ac:dyDescent="0.3">
      <c r="A104" t="s">
        <v>32</v>
      </c>
      <c r="B104">
        <v>2023</v>
      </c>
      <c r="C104" s="4">
        <v>710.6</v>
      </c>
      <c r="D104" s="4">
        <v>-21.1</v>
      </c>
      <c r="E104" s="4">
        <v>30.27</v>
      </c>
      <c r="F104" s="4">
        <v>1915.8</v>
      </c>
      <c r="G104" s="4">
        <v>0.371</v>
      </c>
      <c r="H104" s="4">
        <v>-1.62</v>
      </c>
      <c r="I104" s="4">
        <v>0.2</v>
      </c>
      <c r="J104" s="4">
        <v>24.3</v>
      </c>
      <c r="K104" t="s">
        <v>878</v>
      </c>
      <c r="L104" t="s">
        <v>488</v>
      </c>
    </row>
    <row r="105" spans="1:12" x14ac:dyDescent="0.3">
      <c r="A105" t="s">
        <v>32</v>
      </c>
      <c r="B105">
        <v>2024</v>
      </c>
      <c r="C105" s="4">
        <v>578.29999999999995</v>
      </c>
      <c r="D105" s="4">
        <v>-35.799999999999997</v>
      </c>
      <c r="E105" s="4">
        <v>30.29</v>
      </c>
      <c r="F105" s="4">
        <v>1848.3</v>
      </c>
      <c r="G105" s="4">
        <v>0.313</v>
      </c>
      <c r="H105" s="4">
        <v>-2.5</v>
      </c>
      <c r="I105" s="4">
        <v>0.2</v>
      </c>
      <c r="J105" s="4">
        <v>11.2</v>
      </c>
      <c r="K105" t="s">
        <v>878</v>
      </c>
      <c r="L105" t="s">
        <v>488</v>
      </c>
    </row>
    <row r="106" spans="1:12" x14ac:dyDescent="0.3">
      <c r="A106" t="s">
        <v>32</v>
      </c>
      <c r="B106">
        <v>2025</v>
      </c>
      <c r="C106" s="4">
        <v>666.7</v>
      </c>
      <c r="D106" s="4">
        <v>-25.9</v>
      </c>
      <c r="E106" s="4">
        <v>30.47</v>
      </c>
      <c r="F106" s="4">
        <v>1883.1</v>
      </c>
      <c r="G106" s="4">
        <v>0.35399999999999998</v>
      </c>
      <c r="H106" s="4">
        <v>-1.98</v>
      </c>
      <c r="I106" s="4">
        <v>0.2</v>
      </c>
      <c r="J106" s="4">
        <v>18.7</v>
      </c>
      <c r="K106" t="s">
        <v>878</v>
      </c>
      <c r="L106" t="s">
        <v>488</v>
      </c>
    </row>
    <row r="107" spans="1:12" x14ac:dyDescent="0.3">
      <c r="A107" t="s">
        <v>50</v>
      </c>
      <c r="B107">
        <v>1991</v>
      </c>
      <c r="C107" s="4">
        <v>986.5</v>
      </c>
      <c r="D107" s="4">
        <v>2.8</v>
      </c>
      <c r="E107" s="4">
        <v>28.7</v>
      </c>
      <c r="F107" s="4">
        <v>1670.4</v>
      </c>
      <c r="G107" s="4">
        <v>0.59099999999999997</v>
      </c>
      <c r="H107" s="4">
        <v>0.17</v>
      </c>
      <c r="I107" s="4">
        <v>0.33600000000000002</v>
      </c>
      <c r="J107" s="4">
        <v>75</v>
      </c>
      <c r="K107" t="s">
        <v>876</v>
      </c>
      <c r="L107" t="s">
        <v>488</v>
      </c>
    </row>
    <row r="108" spans="1:12" x14ac:dyDescent="0.3">
      <c r="A108" t="s">
        <v>50</v>
      </c>
      <c r="B108">
        <v>1992</v>
      </c>
      <c r="C108" s="4">
        <v>938.3</v>
      </c>
      <c r="D108" s="4">
        <v>-2.2000000000000002</v>
      </c>
      <c r="E108" s="4">
        <v>28.31</v>
      </c>
      <c r="F108" s="4">
        <v>1649.7</v>
      </c>
      <c r="G108" s="4">
        <v>0.56899999999999995</v>
      </c>
      <c r="H108" s="4">
        <v>-0.13</v>
      </c>
      <c r="I108" s="4">
        <v>0.255</v>
      </c>
      <c r="J108" s="4">
        <v>71.2</v>
      </c>
      <c r="K108" t="s">
        <v>876</v>
      </c>
      <c r="L108" t="s">
        <v>488</v>
      </c>
    </row>
    <row r="109" spans="1:12" x14ac:dyDescent="0.3">
      <c r="A109" t="s">
        <v>50</v>
      </c>
      <c r="B109">
        <v>1993</v>
      </c>
      <c r="C109" s="4">
        <v>1103.4000000000001</v>
      </c>
      <c r="D109" s="4">
        <v>15</v>
      </c>
      <c r="E109" s="4">
        <v>28.19</v>
      </c>
      <c r="F109" s="4">
        <v>1609.9</v>
      </c>
      <c r="G109" s="4">
        <v>0.68500000000000005</v>
      </c>
      <c r="H109" s="4">
        <v>1.21</v>
      </c>
      <c r="I109" s="4">
        <v>0.311</v>
      </c>
      <c r="J109" s="4">
        <v>118.6</v>
      </c>
      <c r="K109" t="s">
        <v>484</v>
      </c>
      <c r="L109" t="s">
        <v>488</v>
      </c>
    </row>
    <row r="110" spans="1:12" x14ac:dyDescent="0.3">
      <c r="A110" t="s">
        <v>50</v>
      </c>
      <c r="B110">
        <v>1994</v>
      </c>
      <c r="C110" s="4">
        <v>977.9</v>
      </c>
      <c r="D110" s="4">
        <v>1.9</v>
      </c>
      <c r="E110" s="4">
        <v>28.8</v>
      </c>
      <c r="F110" s="4">
        <v>1657.9</v>
      </c>
      <c r="G110" s="4">
        <v>0.59</v>
      </c>
      <c r="H110" s="4">
        <v>0.09</v>
      </c>
      <c r="I110" s="4">
        <v>0.29199999999999998</v>
      </c>
      <c r="J110" s="4">
        <v>85</v>
      </c>
      <c r="K110" t="s">
        <v>876</v>
      </c>
      <c r="L110" t="s">
        <v>488</v>
      </c>
    </row>
    <row r="111" spans="1:12" x14ac:dyDescent="0.3">
      <c r="A111" t="s">
        <v>50</v>
      </c>
      <c r="B111">
        <v>1995</v>
      </c>
      <c r="C111" s="4">
        <v>1000.8</v>
      </c>
      <c r="D111" s="4">
        <v>4.3</v>
      </c>
      <c r="E111" s="4">
        <v>28.53</v>
      </c>
      <c r="F111" s="4">
        <v>1695.2</v>
      </c>
      <c r="G111" s="4">
        <v>0.59</v>
      </c>
      <c r="H111" s="4">
        <v>0.32</v>
      </c>
      <c r="I111" s="4">
        <v>0.253</v>
      </c>
      <c r="J111" s="4">
        <v>70.8</v>
      </c>
      <c r="K111" t="s">
        <v>876</v>
      </c>
      <c r="L111" t="s">
        <v>488</v>
      </c>
    </row>
    <row r="112" spans="1:12" x14ac:dyDescent="0.3">
      <c r="A112" t="s">
        <v>50</v>
      </c>
      <c r="B112">
        <v>1996</v>
      </c>
      <c r="C112" s="4">
        <v>1096.5</v>
      </c>
      <c r="D112" s="4">
        <v>14.3</v>
      </c>
      <c r="E112" s="4">
        <v>28.63</v>
      </c>
      <c r="F112" s="4">
        <v>1730.9</v>
      </c>
      <c r="G112" s="4">
        <v>0.63300000000000001</v>
      </c>
      <c r="H112" s="4">
        <v>1.07</v>
      </c>
      <c r="I112" s="4">
        <v>0.29599999999999999</v>
      </c>
      <c r="J112" s="4">
        <v>98.7</v>
      </c>
      <c r="K112" t="s">
        <v>484</v>
      </c>
      <c r="L112" t="s">
        <v>488</v>
      </c>
    </row>
    <row r="113" spans="1:12" x14ac:dyDescent="0.3">
      <c r="A113" t="s">
        <v>50</v>
      </c>
      <c r="B113">
        <v>1997</v>
      </c>
      <c r="C113" s="4">
        <v>1240.3</v>
      </c>
      <c r="D113" s="4">
        <v>29.2</v>
      </c>
      <c r="E113" s="4">
        <v>29.01</v>
      </c>
      <c r="F113" s="4">
        <v>1675.6</v>
      </c>
      <c r="G113" s="4">
        <v>0.74</v>
      </c>
      <c r="H113" s="4">
        <v>2.14</v>
      </c>
      <c r="I113" s="4">
        <v>0.36199999999999999</v>
      </c>
      <c r="J113" s="4">
        <v>153.1</v>
      </c>
      <c r="K113" t="s">
        <v>484</v>
      </c>
      <c r="L113" t="s">
        <v>488</v>
      </c>
    </row>
    <row r="114" spans="1:12" x14ac:dyDescent="0.3">
      <c r="A114" t="s">
        <v>50</v>
      </c>
      <c r="B114">
        <v>1998</v>
      </c>
      <c r="C114" s="4">
        <v>991.4</v>
      </c>
      <c r="D114" s="4">
        <v>3.3</v>
      </c>
      <c r="E114" s="4">
        <v>28.78</v>
      </c>
      <c r="F114" s="4">
        <v>1653</v>
      </c>
      <c r="G114" s="4">
        <v>0.6</v>
      </c>
      <c r="H114" s="4">
        <v>0.2</v>
      </c>
      <c r="I114" s="4">
        <v>0.25800000000000001</v>
      </c>
      <c r="J114" s="4">
        <v>87.7</v>
      </c>
      <c r="K114" t="s">
        <v>876</v>
      </c>
      <c r="L114" t="s">
        <v>488</v>
      </c>
    </row>
    <row r="115" spans="1:12" x14ac:dyDescent="0.3">
      <c r="A115" t="s">
        <v>50</v>
      </c>
      <c r="B115">
        <v>1999</v>
      </c>
      <c r="C115" s="4">
        <v>1029.5</v>
      </c>
      <c r="D115" s="4">
        <v>7.3</v>
      </c>
      <c r="E115" s="4">
        <v>28.91</v>
      </c>
      <c r="F115" s="4">
        <v>1765.9</v>
      </c>
      <c r="G115" s="4">
        <v>0.58299999999999996</v>
      </c>
      <c r="H115" s="4">
        <v>0.48</v>
      </c>
      <c r="I115" s="4">
        <v>0.2</v>
      </c>
      <c r="J115" s="4">
        <v>99.2</v>
      </c>
      <c r="K115" t="s">
        <v>876</v>
      </c>
      <c r="L115" t="s">
        <v>488</v>
      </c>
    </row>
    <row r="116" spans="1:12" x14ac:dyDescent="0.3">
      <c r="A116" t="s">
        <v>50</v>
      </c>
      <c r="B116">
        <v>2000</v>
      </c>
      <c r="C116" s="4">
        <v>1188.8</v>
      </c>
      <c r="D116" s="4">
        <v>23.9</v>
      </c>
      <c r="E116" s="4">
        <v>28.68</v>
      </c>
      <c r="F116" s="4">
        <v>1743.4</v>
      </c>
      <c r="G116" s="4">
        <v>0.68200000000000005</v>
      </c>
      <c r="H116" s="4">
        <v>1.8</v>
      </c>
      <c r="I116" s="4">
        <v>0.30299999999999999</v>
      </c>
      <c r="J116" s="4">
        <v>118.6</v>
      </c>
      <c r="K116" t="s">
        <v>484</v>
      </c>
      <c r="L116" t="s">
        <v>488</v>
      </c>
    </row>
    <row r="117" spans="1:12" x14ac:dyDescent="0.3">
      <c r="A117" t="s">
        <v>50</v>
      </c>
      <c r="B117">
        <v>2001</v>
      </c>
      <c r="C117" s="4">
        <v>971.5</v>
      </c>
      <c r="D117" s="4">
        <v>1.2</v>
      </c>
      <c r="E117" s="4">
        <v>28.73</v>
      </c>
      <c r="F117" s="4">
        <v>1672.6</v>
      </c>
      <c r="G117" s="4">
        <v>0.58099999999999996</v>
      </c>
      <c r="H117" s="4">
        <v>0.05</v>
      </c>
      <c r="I117" s="4">
        <v>0.26100000000000001</v>
      </c>
      <c r="J117" s="4">
        <v>79.5</v>
      </c>
      <c r="K117" t="s">
        <v>876</v>
      </c>
      <c r="L117" t="s">
        <v>488</v>
      </c>
    </row>
    <row r="118" spans="1:12" x14ac:dyDescent="0.3">
      <c r="A118" t="s">
        <v>50</v>
      </c>
      <c r="B118">
        <v>2002</v>
      </c>
      <c r="C118" s="4">
        <v>1082.9000000000001</v>
      </c>
      <c r="D118" s="4">
        <v>12.8</v>
      </c>
      <c r="E118" s="4">
        <v>29.12</v>
      </c>
      <c r="F118" s="4">
        <v>1720.9</v>
      </c>
      <c r="G118" s="4">
        <v>0.629</v>
      </c>
      <c r="H118" s="4">
        <v>0.86</v>
      </c>
      <c r="I118" s="4">
        <v>0.217</v>
      </c>
      <c r="J118" s="4">
        <v>94.2</v>
      </c>
      <c r="K118" t="s">
        <v>484</v>
      </c>
      <c r="L118" t="s">
        <v>488</v>
      </c>
    </row>
    <row r="119" spans="1:12" x14ac:dyDescent="0.3">
      <c r="A119" t="s">
        <v>50</v>
      </c>
      <c r="B119">
        <v>2003</v>
      </c>
      <c r="C119" s="4">
        <v>871.4</v>
      </c>
      <c r="D119" s="4">
        <v>-9.1999999999999993</v>
      </c>
      <c r="E119" s="4">
        <v>28.81</v>
      </c>
      <c r="F119" s="4">
        <v>1721.5</v>
      </c>
      <c r="G119" s="4">
        <v>0.50600000000000001</v>
      </c>
      <c r="H119" s="4">
        <v>-0.77</v>
      </c>
      <c r="I119" s="4">
        <v>0.2</v>
      </c>
      <c r="J119" s="4">
        <v>61.3</v>
      </c>
      <c r="K119" t="s">
        <v>877</v>
      </c>
      <c r="L119" t="s">
        <v>488</v>
      </c>
    </row>
    <row r="120" spans="1:12" x14ac:dyDescent="0.3">
      <c r="A120" t="s">
        <v>50</v>
      </c>
      <c r="B120">
        <v>2004</v>
      </c>
      <c r="C120" s="4">
        <v>1074.2</v>
      </c>
      <c r="D120" s="4">
        <v>11.9</v>
      </c>
      <c r="E120" s="4">
        <v>29.27</v>
      </c>
      <c r="F120" s="4">
        <v>1733.9</v>
      </c>
      <c r="G120" s="4">
        <v>0.62</v>
      </c>
      <c r="H120" s="4">
        <v>0.76</v>
      </c>
      <c r="I120" s="4">
        <v>0.23799999999999999</v>
      </c>
      <c r="J120" s="4">
        <v>117.2</v>
      </c>
      <c r="K120" t="s">
        <v>876</v>
      </c>
      <c r="L120" t="s">
        <v>488</v>
      </c>
    </row>
    <row r="121" spans="1:12" x14ac:dyDescent="0.3">
      <c r="A121" t="s">
        <v>50</v>
      </c>
      <c r="B121">
        <v>2005</v>
      </c>
      <c r="C121" s="4">
        <v>906.5</v>
      </c>
      <c r="D121" s="4">
        <v>-5.5</v>
      </c>
      <c r="E121" s="4">
        <v>28.55</v>
      </c>
      <c r="F121" s="4">
        <v>1741.2</v>
      </c>
      <c r="G121" s="4">
        <v>0.52100000000000002</v>
      </c>
      <c r="H121" s="4">
        <v>-0.43</v>
      </c>
      <c r="I121" s="4">
        <v>0.2</v>
      </c>
      <c r="J121" s="4">
        <v>72.2</v>
      </c>
      <c r="K121" t="s">
        <v>876</v>
      </c>
      <c r="L121" t="s">
        <v>488</v>
      </c>
    </row>
    <row r="122" spans="1:12" x14ac:dyDescent="0.3">
      <c r="A122" t="s">
        <v>50</v>
      </c>
      <c r="B122">
        <v>2006</v>
      </c>
      <c r="C122" s="4">
        <v>1132.9000000000001</v>
      </c>
      <c r="D122" s="4">
        <v>18.100000000000001</v>
      </c>
      <c r="E122" s="4">
        <v>29</v>
      </c>
      <c r="F122" s="4">
        <v>1723.5</v>
      </c>
      <c r="G122" s="4">
        <v>0.65700000000000003</v>
      </c>
      <c r="H122" s="4">
        <v>1.28</v>
      </c>
      <c r="I122" s="4">
        <v>0.29399999999999998</v>
      </c>
      <c r="J122" s="4">
        <v>105.6</v>
      </c>
      <c r="K122" t="s">
        <v>484</v>
      </c>
      <c r="L122" t="s">
        <v>488</v>
      </c>
    </row>
    <row r="123" spans="1:12" x14ac:dyDescent="0.3">
      <c r="A123" t="s">
        <v>50</v>
      </c>
      <c r="B123">
        <v>2007</v>
      </c>
      <c r="C123" s="4">
        <v>870</v>
      </c>
      <c r="D123" s="4">
        <v>-9.3000000000000007</v>
      </c>
      <c r="E123" s="4">
        <v>29.01</v>
      </c>
      <c r="F123" s="4">
        <v>1764.3</v>
      </c>
      <c r="G123" s="4">
        <v>0.49299999999999999</v>
      </c>
      <c r="H123" s="4">
        <v>-0.82</v>
      </c>
      <c r="I123" s="4">
        <v>0.2</v>
      </c>
      <c r="J123" s="4">
        <v>63.5</v>
      </c>
      <c r="K123" t="s">
        <v>877</v>
      </c>
      <c r="L123" t="s">
        <v>488</v>
      </c>
    </row>
    <row r="124" spans="1:12" x14ac:dyDescent="0.3">
      <c r="A124" t="s">
        <v>50</v>
      </c>
      <c r="B124">
        <v>2008</v>
      </c>
      <c r="C124" s="4">
        <v>935.8</v>
      </c>
      <c r="D124" s="4">
        <v>-2.5</v>
      </c>
      <c r="E124" s="4">
        <v>29.18</v>
      </c>
      <c r="F124" s="4">
        <v>1806.7</v>
      </c>
      <c r="G124" s="4">
        <v>0.51800000000000002</v>
      </c>
      <c r="H124" s="4">
        <v>-0.33</v>
      </c>
      <c r="I124" s="4">
        <v>0.2</v>
      </c>
      <c r="J124" s="4">
        <v>59</v>
      </c>
      <c r="K124" t="s">
        <v>876</v>
      </c>
      <c r="L124" t="s">
        <v>488</v>
      </c>
    </row>
    <row r="125" spans="1:12" x14ac:dyDescent="0.3">
      <c r="A125" t="s">
        <v>50</v>
      </c>
      <c r="B125">
        <v>2009</v>
      </c>
      <c r="C125" s="4">
        <v>830.1</v>
      </c>
      <c r="D125" s="4">
        <v>-13.5</v>
      </c>
      <c r="E125" s="4">
        <v>29.05</v>
      </c>
      <c r="F125" s="4">
        <v>1747.5</v>
      </c>
      <c r="G125" s="4">
        <v>0.47499999999999998</v>
      </c>
      <c r="H125" s="4">
        <v>-1.1499999999999999</v>
      </c>
      <c r="I125" s="4">
        <v>0.2</v>
      </c>
      <c r="J125" s="4">
        <v>38.4</v>
      </c>
      <c r="K125" t="s">
        <v>877</v>
      </c>
      <c r="L125" t="s">
        <v>488</v>
      </c>
    </row>
    <row r="126" spans="1:12" x14ac:dyDescent="0.3">
      <c r="A126" t="s">
        <v>50</v>
      </c>
      <c r="B126">
        <v>2010</v>
      </c>
      <c r="C126" s="4">
        <v>878.4</v>
      </c>
      <c r="D126" s="4">
        <v>-8.5</v>
      </c>
      <c r="E126" s="4">
        <v>28.97</v>
      </c>
      <c r="F126" s="4">
        <v>1840.9</v>
      </c>
      <c r="G126" s="4">
        <v>0.47699999999999998</v>
      </c>
      <c r="H126" s="4">
        <v>-0.74</v>
      </c>
      <c r="I126" s="4">
        <v>0.2</v>
      </c>
      <c r="J126" s="4">
        <v>48.5</v>
      </c>
      <c r="K126" t="s">
        <v>877</v>
      </c>
      <c r="L126" t="s">
        <v>488</v>
      </c>
    </row>
    <row r="127" spans="1:12" x14ac:dyDescent="0.3">
      <c r="A127" t="s">
        <v>50</v>
      </c>
      <c r="B127">
        <v>2011</v>
      </c>
      <c r="C127" s="4">
        <v>1080.5</v>
      </c>
      <c r="D127" s="4">
        <v>12.6</v>
      </c>
      <c r="E127" s="4">
        <v>29.32</v>
      </c>
      <c r="F127" s="4">
        <v>1810</v>
      </c>
      <c r="G127" s="4">
        <v>0.59699999999999998</v>
      </c>
      <c r="H127" s="4">
        <v>0.8</v>
      </c>
      <c r="I127" s="4">
        <v>0.20599999999999999</v>
      </c>
      <c r="J127" s="4">
        <v>83.6</v>
      </c>
      <c r="K127" t="s">
        <v>484</v>
      </c>
      <c r="L127" t="s">
        <v>488</v>
      </c>
    </row>
    <row r="128" spans="1:12" x14ac:dyDescent="0.3">
      <c r="A128" t="s">
        <v>50</v>
      </c>
      <c r="B128">
        <v>2012</v>
      </c>
      <c r="C128" s="4">
        <v>878.5</v>
      </c>
      <c r="D128" s="4">
        <v>-8.5</v>
      </c>
      <c r="E128" s="4">
        <v>29.47</v>
      </c>
      <c r="F128" s="4">
        <v>1802.3</v>
      </c>
      <c r="G128" s="4">
        <v>0.48699999999999999</v>
      </c>
      <c r="H128" s="4">
        <v>-0.84</v>
      </c>
      <c r="I128" s="4">
        <v>0.2</v>
      </c>
      <c r="J128" s="4">
        <v>50.7</v>
      </c>
      <c r="K128" t="s">
        <v>877</v>
      </c>
      <c r="L128" t="s">
        <v>488</v>
      </c>
    </row>
    <row r="129" spans="1:12" x14ac:dyDescent="0.3">
      <c r="A129" t="s">
        <v>50</v>
      </c>
      <c r="B129">
        <v>2013</v>
      </c>
      <c r="C129" s="4">
        <v>923.1</v>
      </c>
      <c r="D129" s="4">
        <v>-3.8</v>
      </c>
      <c r="E129" s="4">
        <v>29.07</v>
      </c>
      <c r="F129" s="4">
        <v>1762.3</v>
      </c>
      <c r="G129" s="4">
        <v>0.52400000000000002</v>
      </c>
      <c r="H129" s="4">
        <v>-0.41</v>
      </c>
      <c r="I129" s="4">
        <v>0.2</v>
      </c>
      <c r="J129" s="4">
        <v>68</v>
      </c>
      <c r="K129" t="s">
        <v>876</v>
      </c>
      <c r="L129" t="s">
        <v>488</v>
      </c>
    </row>
    <row r="130" spans="1:12" x14ac:dyDescent="0.3">
      <c r="A130" t="s">
        <v>50</v>
      </c>
      <c r="B130">
        <v>2014</v>
      </c>
      <c r="C130" s="4">
        <v>972.7</v>
      </c>
      <c r="D130" s="4">
        <v>1.4</v>
      </c>
      <c r="E130" s="4">
        <v>29.61</v>
      </c>
      <c r="F130" s="4">
        <v>1855.6</v>
      </c>
      <c r="G130" s="4">
        <v>0.52400000000000002</v>
      </c>
      <c r="H130" s="4">
        <v>-0.12</v>
      </c>
      <c r="I130" s="4">
        <v>0.2</v>
      </c>
      <c r="J130" s="4">
        <v>60.4</v>
      </c>
      <c r="K130" t="s">
        <v>876</v>
      </c>
      <c r="L130" t="s">
        <v>488</v>
      </c>
    </row>
    <row r="131" spans="1:12" x14ac:dyDescent="0.3">
      <c r="A131" t="s">
        <v>50</v>
      </c>
      <c r="B131">
        <v>2015</v>
      </c>
      <c r="C131" s="4">
        <v>1057.8</v>
      </c>
      <c r="D131" s="4">
        <v>10.199999999999999</v>
      </c>
      <c r="E131" s="4">
        <v>29.38</v>
      </c>
      <c r="F131" s="4">
        <v>1893.3</v>
      </c>
      <c r="G131" s="4">
        <v>0.55900000000000005</v>
      </c>
      <c r="H131" s="4">
        <v>0.61</v>
      </c>
      <c r="I131" s="4">
        <v>0.2</v>
      </c>
      <c r="J131" s="4">
        <v>83.2</v>
      </c>
      <c r="K131" t="s">
        <v>876</v>
      </c>
      <c r="L131" t="s">
        <v>488</v>
      </c>
    </row>
    <row r="132" spans="1:12" x14ac:dyDescent="0.3">
      <c r="A132" t="s">
        <v>50</v>
      </c>
      <c r="B132">
        <v>2016</v>
      </c>
      <c r="C132" s="4">
        <v>1008.9</v>
      </c>
      <c r="D132" s="4">
        <v>5.0999999999999996</v>
      </c>
      <c r="E132" s="4">
        <v>29.12</v>
      </c>
      <c r="F132" s="4">
        <v>1875.6</v>
      </c>
      <c r="G132" s="4">
        <v>0.53800000000000003</v>
      </c>
      <c r="H132" s="4">
        <v>0.27</v>
      </c>
      <c r="I132" s="4">
        <v>0.2</v>
      </c>
      <c r="J132" s="4">
        <v>72</v>
      </c>
      <c r="K132" t="s">
        <v>876</v>
      </c>
      <c r="L132" t="s">
        <v>488</v>
      </c>
    </row>
    <row r="133" spans="1:12" x14ac:dyDescent="0.3">
      <c r="A133" t="s">
        <v>50</v>
      </c>
      <c r="B133">
        <v>2017</v>
      </c>
      <c r="C133" s="4">
        <v>910.9</v>
      </c>
      <c r="D133" s="4">
        <v>-5.0999999999999996</v>
      </c>
      <c r="E133" s="4">
        <v>29.5</v>
      </c>
      <c r="F133" s="4">
        <v>1862.5</v>
      </c>
      <c r="G133" s="4">
        <v>0.48899999999999999</v>
      </c>
      <c r="H133" s="4">
        <v>-0.59</v>
      </c>
      <c r="I133" s="4">
        <v>0.2</v>
      </c>
      <c r="J133" s="4">
        <v>53.2</v>
      </c>
      <c r="K133" t="s">
        <v>876</v>
      </c>
      <c r="L133" t="s">
        <v>488</v>
      </c>
    </row>
    <row r="134" spans="1:12" x14ac:dyDescent="0.3">
      <c r="A134" t="s">
        <v>50</v>
      </c>
      <c r="B134">
        <v>2018</v>
      </c>
      <c r="C134" s="4">
        <v>908.9</v>
      </c>
      <c r="D134" s="4">
        <v>-5.3</v>
      </c>
      <c r="E134" s="4">
        <v>29.15</v>
      </c>
      <c r="F134" s="4">
        <v>1801.6</v>
      </c>
      <c r="G134" s="4">
        <v>0.504</v>
      </c>
      <c r="H134" s="4">
        <v>-0.54</v>
      </c>
      <c r="I134" s="4">
        <v>0.2</v>
      </c>
      <c r="J134" s="4">
        <v>49.9</v>
      </c>
      <c r="K134" t="s">
        <v>876</v>
      </c>
      <c r="L134" t="s">
        <v>488</v>
      </c>
    </row>
    <row r="135" spans="1:12" x14ac:dyDescent="0.3">
      <c r="A135" t="s">
        <v>50</v>
      </c>
      <c r="B135">
        <v>2019</v>
      </c>
      <c r="C135" s="4">
        <v>1035.3</v>
      </c>
      <c r="D135" s="4">
        <v>7.9</v>
      </c>
      <c r="E135" s="4">
        <v>29.23</v>
      </c>
      <c r="F135" s="4">
        <v>1887.4</v>
      </c>
      <c r="G135" s="4">
        <v>0.54900000000000004</v>
      </c>
      <c r="H135" s="4">
        <v>0.46</v>
      </c>
      <c r="I135" s="4">
        <v>0.2</v>
      </c>
      <c r="J135" s="4">
        <v>76.5</v>
      </c>
      <c r="K135" t="s">
        <v>876</v>
      </c>
      <c r="L135" t="s">
        <v>488</v>
      </c>
    </row>
    <row r="136" spans="1:12" x14ac:dyDescent="0.3">
      <c r="A136" t="s">
        <v>50</v>
      </c>
      <c r="B136">
        <v>2020</v>
      </c>
      <c r="C136" s="4">
        <v>844.2</v>
      </c>
      <c r="D136" s="4">
        <v>-12</v>
      </c>
      <c r="E136" s="4">
        <v>29.36</v>
      </c>
      <c r="F136" s="4">
        <v>1873.6</v>
      </c>
      <c r="G136" s="4">
        <v>0.45100000000000001</v>
      </c>
      <c r="H136" s="4">
        <v>-1.0900000000000001</v>
      </c>
      <c r="I136" s="4">
        <v>0.2</v>
      </c>
      <c r="J136" s="4">
        <v>54.7</v>
      </c>
      <c r="K136" t="s">
        <v>877</v>
      </c>
      <c r="L136" t="s">
        <v>488</v>
      </c>
    </row>
    <row r="137" spans="1:12" x14ac:dyDescent="0.3">
      <c r="A137" t="s">
        <v>50</v>
      </c>
      <c r="B137">
        <v>2021</v>
      </c>
      <c r="C137" s="4">
        <v>807.3</v>
      </c>
      <c r="D137" s="4">
        <v>-15.9</v>
      </c>
      <c r="E137" s="4">
        <v>29.44</v>
      </c>
      <c r="F137" s="4">
        <v>1852.6</v>
      </c>
      <c r="G137" s="4">
        <v>0.436</v>
      </c>
      <c r="H137" s="4">
        <v>-1.4</v>
      </c>
      <c r="I137" s="4">
        <v>0.2</v>
      </c>
      <c r="J137" s="4">
        <v>49.8</v>
      </c>
      <c r="K137" t="s">
        <v>878</v>
      </c>
      <c r="L137" t="s">
        <v>488</v>
      </c>
    </row>
    <row r="138" spans="1:12" x14ac:dyDescent="0.3">
      <c r="A138" t="s">
        <v>50</v>
      </c>
      <c r="B138">
        <v>2022</v>
      </c>
      <c r="C138" s="4">
        <v>802.3</v>
      </c>
      <c r="D138" s="4">
        <v>-16.399999999999999</v>
      </c>
      <c r="E138" s="4">
        <v>29.62</v>
      </c>
      <c r="F138" s="4">
        <v>1801.5</v>
      </c>
      <c r="G138" s="4">
        <v>0.44500000000000001</v>
      </c>
      <c r="H138" s="4">
        <v>-1.48</v>
      </c>
      <c r="I138" s="4">
        <v>0.2</v>
      </c>
      <c r="J138" s="4">
        <v>33.5</v>
      </c>
      <c r="K138" t="s">
        <v>878</v>
      </c>
      <c r="L138" t="s">
        <v>488</v>
      </c>
    </row>
    <row r="139" spans="1:12" x14ac:dyDescent="0.3">
      <c r="A139" t="s">
        <v>50</v>
      </c>
      <c r="B139">
        <v>2023</v>
      </c>
      <c r="C139" s="4">
        <v>813.7</v>
      </c>
      <c r="D139" s="4">
        <v>-15.2</v>
      </c>
      <c r="E139" s="4">
        <v>29.75</v>
      </c>
      <c r="F139" s="4">
        <v>1940.6</v>
      </c>
      <c r="G139" s="4">
        <v>0.41899999999999998</v>
      </c>
      <c r="H139" s="4">
        <v>-1.42</v>
      </c>
      <c r="I139" s="4">
        <v>0.2</v>
      </c>
      <c r="J139" s="4">
        <v>35.5</v>
      </c>
      <c r="K139" t="s">
        <v>878</v>
      </c>
      <c r="L139" t="s">
        <v>488</v>
      </c>
    </row>
    <row r="140" spans="1:12" x14ac:dyDescent="0.3">
      <c r="A140" t="s">
        <v>50</v>
      </c>
      <c r="B140">
        <v>2024</v>
      </c>
      <c r="C140" s="4">
        <v>777.2</v>
      </c>
      <c r="D140" s="4">
        <v>-19</v>
      </c>
      <c r="E140" s="4">
        <v>29.75</v>
      </c>
      <c r="F140" s="4">
        <v>1952.4</v>
      </c>
      <c r="G140" s="4">
        <v>0.39800000000000002</v>
      </c>
      <c r="H140" s="4">
        <v>-1.71</v>
      </c>
      <c r="I140" s="4">
        <v>0.2</v>
      </c>
      <c r="J140" s="4">
        <v>30.2</v>
      </c>
      <c r="K140" t="s">
        <v>878</v>
      </c>
      <c r="L140" t="s">
        <v>488</v>
      </c>
    </row>
    <row r="141" spans="1:12" x14ac:dyDescent="0.3">
      <c r="A141" t="s">
        <v>50</v>
      </c>
      <c r="B141">
        <v>2025</v>
      </c>
      <c r="C141" s="4">
        <v>659</v>
      </c>
      <c r="D141" s="4">
        <v>-31.3</v>
      </c>
      <c r="E141" s="4">
        <v>29.77</v>
      </c>
      <c r="F141" s="4">
        <v>1814.3</v>
      </c>
      <c r="G141" s="4">
        <v>0.36299999999999999</v>
      </c>
      <c r="H141" s="4">
        <v>-2.5</v>
      </c>
      <c r="I141" s="4">
        <v>0.2</v>
      </c>
      <c r="J141" s="4">
        <v>23.2</v>
      </c>
      <c r="K141" t="s">
        <v>878</v>
      </c>
      <c r="L141" t="s">
        <v>488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98"/>
  <sheetViews>
    <sheetView workbookViewId="0"/>
  </sheetViews>
  <sheetFormatPr defaultRowHeight="14.4" x14ac:dyDescent="0.3"/>
  <cols>
    <col min="1" max="12" width="18" customWidth="1"/>
  </cols>
  <sheetData>
    <row r="1" spans="1:12" ht="28.8" x14ac:dyDescent="0.3">
      <c r="A1" s="10" t="s">
        <v>879</v>
      </c>
      <c r="B1" s="10" t="s">
        <v>880</v>
      </c>
      <c r="C1" s="10" t="s">
        <v>881</v>
      </c>
      <c r="D1" s="10" t="s">
        <v>882</v>
      </c>
      <c r="E1" s="10" t="s">
        <v>883</v>
      </c>
      <c r="F1" s="10" t="s">
        <v>884</v>
      </c>
      <c r="G1" s="10" t="s">
        <v>885</v>
      </c>
      <c r="H1" s="10" t="s">
        <v>886</v>
      </c>
      <c r="I1" s="10" t="s">
        <v>887</v>
      </c>
      <c r="J1" s="10" t="s">
        <v>888</v>
      </c>
      <c r="K1" s="10" t="s">
        <v>889</v>
      </c>
      <c r="L1" s="10" t="s">
        <v>71</v>
      </c>
    </row>
    <row r="2" spans="1:12" x14ac:dyDescent="0.3">
      <c r="A2" t="s">
        <v>72</v>
      </c>
      <c r="B2" t="s">
        <v>119</v>
      </c>
      <c r="C2" t="s">
        <v>890</v>
      </c>
      <c r="D2" s="4">
        <v>10.63</v>
      </c>
      <c r="E2" s="4">
        <v>0.81299999999999994</v>
      </c>
      <c r="F2" s="4">
        <v>0.89300000000000002</v>
      </c>
      <c r="G2" s="4">
        <v>0.81599999999999995</v>
      </c>
      <c r="H2" s="4">
        <v>0.83899999999999997</v>
      </c>
      <c r="I2" t="s">
        <v>891</v>
      </c>
      <c r="J2" t="s">
        <v>892</v>
      </c>
      <c r="K2" t="s">
        <v>893</v>
      </c>
      <c r="L2" t="s">
        <v>488</v>
      </c>
    </row>
    <row r="3" spans="1:12" x14ac:dyDescent="0.3">
      <c r="A3" t="s">
        <v>72</v>
      </c>
      <c r="B3" t="s">
        <v>112</v>
      </c>
      <c r="C3" t="s">
        <v>890</v>
      </c>
      <c r="D3" s="4">
        <v>11.86</v>
      </c>
      <c r="E3" s="4">
        <v>0.97499999999999998</v>
      </c>
      <c r="F3" s="4">
        <v>0.87</v>
      </c>
      <c r="G3" s="4">
        <v>0.76300000000000001</v>
      </c>
      <c r="H3" s="4">
        <v>0.88600000000000001</v>
      </c>
      <c r="I3" t="s">
        <v>891</v>
      </c>
      <c r="J3" t="s">
        <v>48</v>
      </c>
      <c r="K3" t="s">
        <v>894</v>
      </c>
      <c r="L3" t="s">
        <v>488</v>
      </c>
    </row>
    <row r="4" spans="1:12" x14ac:dyDescent="0.3">
      <c r="A4" t="s">
        <v>72</v>
      </c>
      <c r="B4" t="s">
        <v>171</v>
      </c>
      <c r="C4" t="s">
        <v>890</v>
      </c>
      <c r="D4" s="4">
        <v>12.69</v>
      </c>
      <c r="E4" s="4">
        <v>0.85099999999999998</v>
      </c>
      <c r="F4" s="4">
        <v>0.89400000000000002</v>
      </c>
      <c r="G4" s="4">
        <v>0.69899999999999995</v>
      </c>
      <c r="H4" s="4">
        <v>0.82499999999999996</v>
      </c>
      <c r="I4" t="s">
        <v>891</v>
      </c>
      <c r="J4" t="s">
        <v>48</v>
      </c>
      <c r="K4" t="s">
        <v>895</v>
      </c>
      <c r="L4" t="s">
        <v>488</v>
      </c>
    </row>
    <row r="5" spans="1:12" x14ac:dyDescent="0.3">
      <c r="A5" t="s">
        <v>72</v>
      </c>
      <c r="B5" t="s">
        <v>136</v>
      </c>
      <c r="C5" t="s">
        <v>896</v>
      </c>
      <c r="D5" s="4">
        <v>24.2</v>
      </c>
      <c r="E5" s="4">
        <v>0.93899999999999995</v>
      </c>
      <c r="F5" s="4">
        <v>0.754</v>
      </c>
      <c r="G5" s="4">
        <v>0.71299999999999997</v>
      </c>
      <c r="H5" s="4">
        <v>0.82099999999999995</v>
      </c>
      <c r="I5" t="s">
        <v>891</v>
      </c>
      <c r="J5" t="s">
        <v>48</v>
      </c>
      <c r="K5" t="s">
        <v>897</v>
      </c>
      <c r="L5" t="s">
        <v>488</v>
      </c>
    </row>
    <row r="6" spans="1:12" x14ac:dyDescent="0.3">
      <c r="A6" t="s">
        <v>81</v>
      </c>
      <c r="B6" t="s">
        <v>133</v>
      </c>
      <c r="C6" t="s">
        <v>896</v>
      </c>
      <c r="D6" s="4">
        <v>25.54</v>
      </c>
      <c r="E6" s="4">
        <v>0.86099999999999999</v>
      </c>
      <c r="F6" s="4">
        <v>0.75800000000000001</v>
      </c>
      <c r="G6" s="4">
        <v>0.69799999999999995</v>
      </c>
      <c r="H6" s="4">
        <v>0.78600000000000003</v>
      </c>
      <c r="I6" t="s">
        <v>891</v>
      </c>
      <c r="J6" t="s">
        <v>898</v>
      </c>
      <c r="K6" t="s">
        <v>899</v>
      </c>
      <c r="L6" t="s">
        <v>488</v>
      </c>
    </row>
    <row r="7" spans="1:12" x14ac:dyDescent="0.3">
      <c r="A7" t="s">
        <v>81</v>
      </c>
      <c r="B7" t="s">
        <v>112</v>
      </c>
      <c r="C7" t="s">
        <v>896</v>
      </c>
      <c r="D7" s="4">
        <v>44.11</v>
      </c>
      <c r="E7" s="4">
        <v>0.874</v>
      </c>
      <c r="F7" s="4">
        <v>0.64</v>
      </c>
      <c r="G7" s="4">
        <v>0.55200000000000005</v>
      </c>
      <c r="H7" s="4">
        <v>0.71499999999999997</v>
      </c>
      <c r="I7" t="s">
        <v>891</v>
      </c>
      <c r="J7" t="s">
        <v>48</v>
      </c>
      <c r="K7" t="s">
        <v>900</v>
      </c>
      <c r="L7" t="s">
        <v>488</v>
      </c>
    </row>
    <row r="8" spans="1:12" x14ac:dyDescent="0.3">
      <c r="A8" t="s">
        <v>81</v>
      </c>
      <c r="B8" t="s">
        <v>171</v>
      </c>
      <c r="C8" t="s">
        <v>896</v>
      </c>
      <c r="D8" s="4">
        <v>46.85</v>
      </c>
      <c r="E8" s="4">
        <v>0.76600000000000001</v>
      </c>
      <c r="F8" s="4">
        <v>0.65500000000000003</v>
      </c>
      <c r="G8" s="4">
        <v>0.27700000000000002</v>
      </c>
      <c r="H8" s="4">
        <v>0.60299999999999998</v>
      </c>
      <c r="I8" t="s">
        <v>891</v>
      </c>
      <c r="J8" t="s">
        <v>48</v>
      </c>
      <c r="K8" t="s">
        <v>901</v>
      </c>
      <c r="L8" t="s">
        <v>488</v>
      </c>
    </row>
    <row r="9" spans="1:12" x14ac:dyDescent="0.3">
      <c r="A9" t="s">
        <v>81</v>
      </c>
      <c r="B9" t="s">
        <v>72</v>
      </c>
      <c r="C9" t="s">
        <v>896</v>
      </c>
      <c r="D9" s="4">
        <v>48.48</v>
      </c>
      <c r="E9" s="4">
        <v>0.89900000000000002</v>
      </c>
      <c r="F9" s="4">
        <v>0.65700000000000003</v>
      </c>
      <c r="G9" s="4">
        <v>0.38900000000000001</v>
      </c>
      <c r="H9" s="4">
        <v>0.68899999999999995</v>
      </c>
      <c r="I9" t="s">
        <v>891</v>
      </c>
      <c r="J9" t="s">
        <v>48</v>
      </c>
      <c r="K9" t="s">
        <v>902</v>
      </c>
      <c r="L9" t="s">
        <v>488</v>
      </c>
    </row>
    <row r="10" spans="1:12" x14ac:dyDescent="0.3">
      <c r="A10" t="s">
        <v>86</v>
      </c>
      <c r="B10" t="s">
        <v>123</v>
      </c>
      <c r="C10" t="s">
        <v>896</v>
      </c>
      <c r="D10" s="4">
        <v>31.28</v>
      </c>
      <c r="E10" s="4">
        <v>0.84799999999999998</v>
      </c>
      <c r="F10" s="4">
        <v>0.70299999999999996</v>
      </c>
      <c r="G10" s="4">
        <v>0.65600000000000003</v>
      </c>
      <c r="H10" s="4">
        <v>0.751</v>
      </c>
      <c r="I10" t="s">
        <v>891</v>
      </c>
      <c r="J10" t="s">
        <v>48</v>
      </c>
      <c r="K10" t="s">
        <v>903</v>
      </c>
      <c r="L10" t="s">
        <v>488</v>
      </c>
    </row>
    <row r="11" spans="1:12" x14ac:dyDescent="0.3">
      <c r="A11" t="s">
        <v>86</v>
      </c>
      <c r="B11" t="s">
        <v>368</v>
      </c>
      <c r="C11" t="s">
        <v>890</v>
      </c>
      <c r="D11" s="4">
        <v>8.94</v>
      </c>
      <c r="E11" s="4">
        <v>0.80100000000000005</v>
      </c>
      <c r="F11" s="4">
        <v>0.92</v>
      </c>
      <c r="G11" s="4">
        <v>0.76400000000000001</v>
      </c>
      <c r="H11" s="4">
        <v>0.82899999999999996</v>
      </c>
      <c r="I11" t="s">
        <v>891</v>
      </c>
      <c r="J11" t="s">
        <v>48</v>
      </c>
      <c r="K11" t="s">
        <v>904</v>
      </c>
      <c r="L11" t="s">
        <v>488</v>
      </c>
    </row>
    <row r="12" spans="1:12" x14ac:dyDescent="0.3">
      <c r="A12" t="s">
        <v>86</v>
      </c>
      <c r="B12" t="s">
        <v>127</v>
      </c>
      <c r="C12" t="s">
        <v>896</v>
      </c>
      <c r="D12" s="4">
        <v>48.22</v>
      </c>
      <c r="E12" s="4">
        <v>0.30599999999999999</v>
      </c>
      <c r="F12" s="4">
        <v>0.59499999999999997</v>
      </c>
      <c r="G12" s="4">
        <v>0.53300000000000003</v>
      </c>
      <c r="H12" s="4">
        <v>0.45700000000000002</v>
      </c>
      <c r="I12" t="s">
        <v>891</v>
      </c>
      <c r="J12" t="s">
        <v>892</v>
      </c>
      <c r="K12" t="s">
        <v>905</v>
      </c>
      <c r="L12" t="s">
        <v>488</v>
      </c>
    </row>
    <row r="13" spans="1:12" x14ac:dyDescent="0.3">
      <c r="A13" t="s">
        <v>86</v>
      </c>
      <c r="B13" t="s">
        <v>374</v>
      </c>
      <c r="C13" t="s">
        <v>906</v>
      </c>
      <c r="D13" s="4">
        <v>22.53</v>
      </c>
      <c r="E13" s="4">
        <v>0.90600000000000003</v>
      </c>
      <c r="F13" s="4">
        <v>0.33900000000000002</v>
      </c>
      <c r="G13" s="4">
        <v>0.69699999999999995</v>
      </c>
      <c r="H13" s="4">
        <v>0.67</v>
      </c>
      <c r="I13" t="s">
        <v>907</v>
      </c>
      <c r="J13" t="s">
        <v>48</v>
      </c>
      <c r="K13" t="s">
        <v>908</v>
      </c>
      <c r="L13" t="s">
        <v>488</v>
      </c>
    </row>
    <row r="14" spans="1:12" x14ac:dyDescent="0.3">
      <c r="A14" t="s">
        <v>88</v>
      </c>
      <c r="B14" t="s">
        <v>92</v>
      </c>
      <c r="C14" t="s">
        <v>896</v>
      </c>
      <c r="D14" s="4">
        <v>39.950000000000003</v>
      </c>
      <c r="E14" s="4">
        <v>0.74</v>
      </c>
      <c r="F14" s="4">
        <v>0.68799999999999994</v>
      </c>
      <c r="G14" s="4">
        <v>0.63900000000000001</v>
      </c>
      <c r="H14" s="4">
        <v>0.69699999999999995</v>
      </c>
      <c r="I14" t="s">
        <v>891</v>
      </c>
      <c r="J14" t="s">
        <v>892</v>
      </c>
      <c r="K14" t="s">
        <v>909</v>
      </c>
      <c r="L14" t="s">
        <v>488</v>
      </c>
    </row>
    <row r="15" spans="1:12" x14ac:dyDescent="0.3">
      <c r="A15" t="s">
        <v>88</v>
      </c>
      <c r="B15" t="s">
        <v>175</v>
      </c>
      <c r="C15" t="s">
        <v>906</v>
      </c>
      <c r="D15" s="4">
        <v>55.42</v>
      </c>
      <c r="E15" s="4">
        <v>0.80600000000000005</v>
      </c>
      <c r="F15" s="4">
        <v>0.13200000000000001</v>
      </c>
      <c r="G15" s="4">
        <v>0.496</v>
      </c>
      <c r="H15" s="4">
        <v>0.51</v>
      </c>
      <c r="I15" t="s">
        <v>907</v>
      </c>
      <c r="J15" t="s">
        <v>892</v>
      </c>
      <c r="K15" t="s">
        <v>910</v>
      </c>
      <c r="L15" t="s">
        <v>488</v>
      </c>
    </row>
    <row r="16" spans="1:12" x14ac:dyDescent="0.3">
      <c r="A16" t="s">
        <v>88</v>
      </c>
      <c r="B16" t="s">
        <v>169</v>
      </c>
      <c r="C16" t="s">
        <v>896</v>
      </c>
      <c r="D16" s="4">
        <v>92.05</v>
      </c>
      <c r="E16" s="4">
        <v>0.76600000000000001</v>
      </c>
      <c r="F16" s="4">
        <v>0.34399999999999997</v>
      </c>
      <c r="G16" s="4">
        <v>0.29599999999999999</v>
      </c>
      <c r="H16" s="4">
        <v>0.50900000000000001</v>
      </c>
      <c r="I16" t="s">
        <v>891</v>
      </c>
      <c r="J16" t="s">
        <v>892</v>
      </c>
      <c r="K16" t="s">
        <v>911</v>
      </c>
      <c r="L16" t="s">
        <v>488</v>
      </c>
    </row>
    <row r="17" spans="1:12" x14ac:dyDescent="0.3">
      <c r="A17" t="s">
        <v>88</v>
      </c>
      <c r="B17" t="s">
        <v>140</v>
      </c>
      <c r="C17" t="s">
        <v>912</v>
      </c>
      <c r="D17" s="4">
        <v>77.7</v>
      </c>
      <c r="E17" s="4">
        <v>0.95399999999999996</v>
      </c>
      <c r="F17" s="4">
        <v>0.05</v>
      </c>
      <c r="G17" s="4">
        <v>0.39</v>
      </c>
      <c r="H17" s="4">
        <v>0.51800000000000002</v>
      </c>
      <c r="I17" t="s">
        <v>907</v>
      </c>
      <c r="J17" t="s">
        <v>506</v>
      </c>
      <c r="K17" t="s">
        <v>913</v>
      </c>
      <c r="L17" t="s">
        <v>488</v>
      </c>
    </row>
    <row r="18" spans="1:12" x14ac:dyDescent="0.3">
      <c r="A18" t="s">
        <v>92</v>
      </c>
      <c r="B18" t="s">
        <v>175</v>
      </c>
      <c r="C18" t="s">
        <v>912</v>
      </c>
      <c r="D18" s="4">
        <v>17.03</v>
      </c>
      <c r="E18" s="4">
        <v>0.84</v>
      </c>
      <c r="F18" s="4">
        <v>0.35499999999999998</v>
      </c>
      <c r="G18" s="4">
        <v>0.77300000000000002</v>
      </c>
      <c r="H18" s="4">
        <v>0.66800000000000004</v>
      </c>
      <c r="I18" t="s">
        <v>907</v>
      </c>
      <c r="J18" t="s">
        <v>48</v>
      </c>
      <c r="K18" t="s">
        <v>914</v>
      </c>
      <c r="L18" t="s">
        <v>488</v>
      </c>
    </row>
    <row r="19" spans="1:12" x14ac:dyDescent="0.3">
      <c r="A19" t="s">
        <v>92</v>
      </c>
      <c r="B19" t="s">
        <v>140</v>
      </c>
      <c r="C19" t="s">
        <v>906</v>
      </c>
      <c r="D19" s="4">
        <v>43.81</v>
      </c>
      <c r="E19" s="4">
        <v>0.71</v>
      </c>
      <c r="F19" s="4">
        <v>0.19600000000000001</v>
      </c>
      <c r="G19" s="4">
        <v>0.38400000000000001</v>
      </c>
      <c r="H19" s="4">
        <v>0.46100000000000002</v>
      </c>
      <c r="I19" t="s">
        <v>907</v>
      </c>
      <c r="J19" t="s">
        <v>892</v>
      </c>
      <c r="K19" t="s">
        <v>915</v>
      </c>
      <c r="L19" t="s">
        <v>488</v>
      </c>
    </row>
    <row r="20" spans="1:12" x14ac:dyDescent="0.3">
      <c r="A20" t="s">
        <v>92</v>
      </c>
      <c r="B20" t="s">
        <v>169</v>
      </c>
      <c r="C20" t="s">
        <v>896</v>
      </c>
      <c r="D20" s="4">
        <v>67.569999999999993</v>
      </c>
      <c r="E20" s="4">
        <v>0.93400000000000005</v>
      </c>
      <c r="F20" s="4">
        <v>0.48799999999999999</v>
      </c>
      <c r="G20" s="4">
        <v>0.47299999999999998</v>
      </c>
      <c r="H20" s="4">
        <v>0.67100000000000004</v>
      </c>
      <c r="I20" t="s">
        <v>891</v>
      </c>
      <c r="J20" t="s">
        <v>48</v>
      </c>
      <c r="K20" t="s">
        <v>916</v>
      </c>
      <c r="L20" t="s">
        <v>488</v>
      </c>
    </row>
    <row r="21" spans="1:12" x14ac:dyDescent="0.3">
      <c r="A21" t="s">
        <v>96</v>
      </c>
      <c r="B21" t="s">
        <v>162</v>
      </c>
      <c r="C21" t="s">
        <v>906</v>
      </c>
      <c r="D21" s="4">
        <v>9</v>
      </c>
      <c r="E21" s="4">
        <v>0.78200000000000003</v>
      </c>
      <c r="F21" s="4">
        <v>0.41199999999999998</v>
      </c>
      <c r="G21" s="4">
        <v>0.70899999999999996</v>
      </c>
      <c r="H21" s="4">
        <v>0.64500000000000002</v>
      </c>
      <c r="I21" t="s">
        <v>907</v>
      </c>
      <c r="J21" t="s">
        <v>48</v>
      </c>
      <c r="K21" t="s">
        <v>917</v>
      </c>
      <c r="L21" t="s">
        <v>488</v>
      </c>
    </row>
    <row r="22" spans="1:12" x14ac:dyDescent="0.3">
      <c r="A22" t="s">
        <v>96</v>
      </c>
      <c r="B22" t="s">
        <v>158</v>
      </c>
      <c r="C22" t="s">
        <v>912</v>
      </c>
      <c r="D22" s="4">
        <v>11.41</v>
      </c>
      <c r="E22" s="4">
        <v>0.85299999999999998</v>
      </c>
      <c r="F22" s="4">
        <v>0.39100000000000001</v>
      </c>
      <c r="G22" s="4">
        <v>0.58399999999999996</v>
      </c>
      <c r="H22" s="4">
        <v>0.63500000000000001</v>
      </c>
      <c r="I22" t="s">
        <v>907</v>
      </c>
      <c r="J22" t="s">
        <v>48</v>
      </c>
      <c r="K22" t="s">
        <v>918</v>
      </c>
      <c r="L22" t="s">
        <v>488</v>
      </c>
    </row>
    <row r="23" spans="1:12" x14ac:dyDescent="0.3">
      <c r="A23" t="s">
        <v>96</v>
      </c>
      <c r="B23" t="s">
        <v>148</v>
      </c>
      <c r="C23" t="s">
        <v>896</v>
      </c>
      <c r="D23" s="4">
        <v>37.82</v>
      </c>
      <c r="E23" s="4">
        <v>0.88900000000000001</v>
      </c>
      <c r="F23" s="4">
        <v>0.69599999999999995</v>
      </c>
      <c r="G23" s="4">
        <v>0.42499999999999999</v>
      </c>
      <c r="H23" s="4">
        <v>0.70699999999999996</v>
      </c>
      <c r="I23" t="s">
        <v>891</v>
      </c>
      <c r="J23" t="s">
        <v>48</v>
      </c>
      <c r="K23" t="s">
        <v>919</v>
      </c>
      <c r="L23" t="s">
        <v>488</v>
      </c>
    </row>
    <row r="24" spans="1:12" x14ac:dyDescent="0.3">
      <c r="A24" t="s">
        <v>96</v>
      </c>
      <c r="B24" t="s">
        <v>177</v>
      </c>
      <c r="C24" t="s">
        <v>912</v>
      </c>
      <c r="D24" s="4">
        <v>45.13</v>
      </c>
      <c r="E24" s="4">
        <v>0.85299999999999998</v>
      </c>
      <c r="F24" s="4">
        <v>0.19500000000000001</v>
      </c>
      <c r="G24" s="4">
        <v>0.22700000000000001</v>
      </c>
      <c r="H24" s="4">
        <v>0.48</v>
      </c>
      <c r="I24" t="s">
        <v>907</v>
      </c>
      <c r="J24" t="s">
        <v>48</v>
      </c>
      <c r="K24" t="s">
        <v>920</v>
      </c>
      <c r="L24" t="s">
        <v>488</v>
      </c>
    </row>
    <row r="25" spans="1:12" x14ac:dyDescent="0.3">
      <c r="A25" t="s">
        <v>98</v>
      </c>
      <c r="B25" t="s">
        <v>173</v>
      </c>
      <c r="C25" t="s">
        <v>896</v>
      </c>
      <c r="D25" s="4">
        <v>29.38</v>
      </c>
      <c r="E25" s="4">
        <v>0.89</v>
      </c>
      <c r="F25" s="4">
        <v>0.74</v>
      </c>
      <c r="G25" s="4">
        <v>0.46800000000000003</v>
      </c>
      <c r="H25" s="4">
        <v>0.73199999999999998</v>
      </c>
      <c r="I25" t="s">
        <v>891</v>
      </c>
      <c r="J25" t="s">
        <v>48</v>
      </c>
      <c r="K25" t="s">
        <v>921</v>
      </c>
      <c r="L25" t="s">
        <v>488</v>
      </c>
    </row>
    <row r="26" spans="1:12" x14ac:dyDescent="0.3">
      <c r="A26" t="s">
        <v>98</v>
      </c>
      <c r="B26" t="s">
        <v>138</v>
      </c>
      <c r="C26" t="s">
        <v>906</v>
      </c>
      <c r="D26" s="4">
        <v>20.260000000000002</v>
      </c>
      <c r="E26" s="4">
        <v>0.82299999999999995</v>
      </c>
      <c r="F26" s="4">
        <v>0.29099999999999998</v>
      </c>
      <c r="G26" s="4">
        <v>0.503</v>
      </c>
      <c r="H26" s="4">
        <v>0.56999999999999995</v>
      </c>
      <c r="I26" t="s">
        <v>907</v>
      </c>
      <c r="J26" t="s">
        <v>892</v>
      </c>
      <c r="K26" t="s">
        <v>922</v>
      </c>
      <c r="L26" t="s">
        <v>488</v>
      </c>
    </row>
    <row r="27" spans="1:12" x14ac:dyDescent="0.3">
      <c r="A27" t="s">
        <v>98</v>
      </c>
      <c r="B27" t="s">
        <v>131</v>
      </c>
      <c r="C27" t="s">
        <v>896</v>
      </c>
      <c r="D27" s="4">
        <v>41.75</v>
      </c>
      <c r="E27" s="4">
        <v>0.80200000000000005</v>
      </c>
      <c r="F27" s="4">
        <v>0.67100000000000004</v>
      </c>
      <c r="G27" s="4">
        <v>0.65700000000000003</v>
      </c>
      <c r="H27" s="4">
        <v>0.72199999999999998</v>
      </c>
      <c r="I27" t="s">
        <v>891</v>
      </c>
      <c r="J27" t="s">
        <v>48</v>
      </c>
      <c r="K27" t="s">
        <v>923</v>
      </c>
      <c r="L27" t="s">
        <v>488</v>
      </c>
    </row>
    <row r="28" spans="1:12" x14ac:dyDescent="0.3">
      <c r="A28" t="s">
        <v>98</v>
      </c>
      <c r="B28" t="s">
        <v>209</v>
      </c>
      <c r="C28" t="s">
        <v>896</v>
      </c>
      <c r="D28" s="4">
        <v>15.57</v>
      </c>
      <c r="E28" s="4">
        <v>0.88800000000000001</v>
      </c>
      <c r="F28" s="4">
        <v>0.77600000000000002</v>
      </c>
      <c r="G28" s="4">
        <v>0.77100000000000002</v>
      </c>
      <c r="H28" s="4">
        <v>0.82199999999999995</v>
      </c>
      <c r="I28" t="s">
        <v>891</v>
      </c>
      <c r="J28" t="s">
        <v>48</v>
      </c>
      <c r="K28" t="s">
        <v>924</v>
      </c>
      <c r="L28" t="s">
        <v>488</v>
      </c>
    </row>
    <row r="29" spans="1:12" x14ac:dyDescent="0.3">
      <c r="A29" t="s">
        <v>105</v>
      </c>
      <c r="B29" t="s">
        <v>110</v>
      </c>
      <c r="C29" t="s">
        <v>890</v>
      </c>
      <c r="D29" s="4">
        <v>6.79</v>
      </c>
      <c r="E29" s="4">
        <v>0.85699999999999998</v>
      </c>
      <c r="F29" s="4">
        <v>0.82699999999999996</v>
      </c>
      <c r="G29" s="4">
        <v>0.80800000000000005</v>
      </c>
      <c r="H29" s="4">
        <v>0.83499999999999996</v>
      </c>
      <c r="I29" t="s">
        <v>891</v>
      </c>
      <c r="J29" t="s">
        <v>898</v>
      </c>
      <c r="K29" t="s">
        <v>925</v>
      </c>
      <c r="L29" t="s">
        <v>488</v>
      </c>
    </row>
    <row r="30" spans="1:12" x14ac:dyDescent="0.3">
      <c r="A30" t="s">
        <v>105</v>
      </c>
      <c r="B30" t="s">
        <v>152</v>
      </c>
      <c r="C30" t="s">
        <v>890</v>
      </c>
      <c r="D30" s="4">
        <v>7.83</v>
      </c>
      <c r="E30" s="4">
        <v>0.80500000000000005</v>
      </c>
      <c r="F30" s="4">
        <v>0.80900000000000005</v>
      </c>
      <c r="G30" s="4">
        <v>0.58099999999999996</v>
      </c>
      <c r="H30" s="4">
        <v>0.748</v>
      </c>
      <c r="I30" t="s">
        <v>891</v>
      </c>
      <c r="J30" t="s">
        <v>500</v>
      </c>
      <c r="K30" t="s">
        <v>926</v>
      </c>
      <c r="L30" t="s">
        <v>488</v>
      </c>
    </row>
    <row r="31" spans="1:12" x14ac:dyDescent="0.3">
      <c r="A31" t="s">
        <v>105</v>
      </c>
      <c r="B31" t="s">
        <v>125</v>
      </c>
      <c r="C31" t="s">
        <v>896</v>
      </c>
      <c r="D31" s="4">
        <v>52.59</v>
      </c>
      <c r="E31" s="4">
        <v>0.85199999999999998</v>
      </c>
      <c r="F31" s="4">
        <v>0.628</v>
      </c>
      <c r="G31" s="4">
        <v>0.51100000000000001</v>
      </c>
      <c r="H31" s="4">
        <v>0.69199999999999995</v>
      </c>
      <c r="I31" t="s">
        <v>891</v>
      </c>
      <c r="J31" t="s">
        <v>898</v>
      </c>
      <c r="K31" t="s">
        <v>927</v>
      </c>
      <c r="L31" t="s">
        <v>488</v>
      </c>
    </row>
    <row r="32" spans="1:12" x14ac:dyDescent="0.3">
      <c r="A32" t="s">
        <v>105</v>
      </c>
      <c r="B32" t="s">
        <v>318</v>
      </c>
      <c r="C32" t="s">
        <v>906</v>
      </c>
      <c r="D32" s="4">
        <v>11.03</v>
      </c>
      <c r="E32" s="4">
        <v>0.56399999999999995</v>
      </c>
      <c r="F32" s="4">
        <v>0.40100000000000002</v>
      </c>
      <c r="G32" s="4">
        <v>0.82599999999999996</v>
      </c>
      <c r="H32" s="4">
        <v>0.57999999999999996</v>
      </c>
      <c r="I32" t="s">
        <v>907</v>
      </c>
      <c r="J32" t="s">
        <v>928</v>
      </c>
      <c r="K32" t="s">
        <v>929</v>
      </c>
      <c r="L32" t="s">
        <v>488</v>
      </c>
    </row>
    <row r="33" spans="1:12" x14ac:dyDescent="0.3">
      <c r="A33" t="s">
        <v>108</v>
      </c>
      <c r="B33" t="s">
        <v>131</v>
      </c>
      <c r="C33" t="s">
        <v>906</v>
      </c>
      <c r="D33" s="4">
        <v>19.57</v>
      </c>
      <c r="E33" s="4">
        <v>0.84899999999999998</v>
      </c>
      <c r="F33" s="4">
        <v>0.35499999999999998</v>
      </c>
      <c r="G33" s="4">
        <v>0.56899999999999995</v>
      </c>
      <c r="H33" s="4">
        <v>0.61799999999999999</v>
      </c>
      <c r="I33" t="s">
        <v>907</v>
      </c>
      <c r="J33" t="s">
        <v>48</v>
      </c>
      <c r="K33" t="s">
        <v>930</v>
      </c>
      <c r="L33" t="s">
        <v>488</v>
      </c>
    </row>
    <row r="34" spans="1:12" x14ac:dyDescent="0.3">
      <c r="A34" t="s">
        <v>108</v>
      </c>
      <c r="B34" t="s">
        <v>166</v>
      </c>
      <c r="C34" t="s">
        <v>896</v>
      </c>
      <c r="D34" s="4">
        <v>35.43</v>
      </c>
      <c r="E34" s="4">
        <v>0.93300000000000005</v>
      </c>
      <c r="F34" s="4">
        <v>0.72799999999999998</v>
      </c>
      <c r="G34" s="4">
        <v>0.629</v>
      </c>
      <c r="H34" s="4">
        <v>0.78800000000000003</v>
      </c>
      <c r="I34" t="s">
        <v>891</v>
      </c>
      <c r="J34" t="s">
        <v>48</v>
      </c>
      <c r="K34" t="s">
        <v>931</v>
      </c>
      <c r="L34" t="s">
        <v>488</v>
      </c>
    </row>
    <row r="35" spans="1:12" x14ac:dyDescent="0.3">
      <c r="A35" t="s">
        <v>108</v>
      </c>
      <c r="B35" t="s">
        <v>242</v>
      </c>
      <c r="C35" t="s">
        <v>890</v>
      </c>
      <c r="D35" s="4">
        <v>6.39</v>
      </c>
      <c r="E35" s="4">
        <v>0.88</v>
      </c>
      <c r="F35" s="4">
        <v>0.80400000000000005</v>
      </c>
      <c r="G35" s="4">
        <v>0.57199999999999995</v>
      </c>
      <c r="H35" s="4">
        <v>0.77600000000000002</v>
      </c>
      <c r="I35" t="s">
        <v>891</v>
      </c>
      <c r="J35" t="s">
        <v>48</v>
      </c>
      <c r="K35" t="s">
        <v>932</v>
      </c>
      <c r="L35" t="s">
        <v>488</v>
      </c>
    </row>
    <row r="36" spans="1:12" x14ac:dyDescent="0.3">
      <c r="A36" t="s">
        <v>108</v>
      </c>
      <c r="B36" t="s">
        <v>117</v>
      </c>
      <c r="C36" t="s">
        <v>896</v>
      </c>
      <c r="D36" s="4">
        <v>43.27</v>
      </c>
      <c r="E36" s="4">
        <v>0.85</v>
      </c>
      <c r="F36" s="4">
        <v>0.66900000000000004</v>
      </c>
      <c r="G36" s="4">
        <v>0.60499999999999998</v>
      </c>
      <c r="H36" s="4">
        <v>0.72799999999999998</v>
      </c>
      <c r="I36" t="s">
        <v>891</v>
      </c>
      <c r="J36" t="s">
        <v>48</v>
      </c>
      <c r="K36" t="s">
        <v>933</v>
      </c>
      <c r="L36" t="s">
        <v>488</v>
      </c>
    </row>
    <row r="37" spans="1:12" x14ac:dyDescent="0.3">
      <c r="A37" t="s">
        <v>110</v>
      </c>
      <c r="B37" t="s">
        <v>152</v>
      </c>
      <c r="C37" t="s">
        <v>890</v>
      </c>
      <c r="D37" s="4">
        <v>14.17</v>
      </c>
      <c r="E37" s="4">
        <v>0.77200000000000002</v>
      </c>
      <c r="F37" s="4">
        <v>0.78300000000000003</v>
      </c>
      <c r="G37" s="4">
        <v>0.77800000000000002</v>
      </c>
      <c r="H37" s="4">
        <v>0.77700000000000002</v>
      </c>
      <c r="I37" t="s">
        <v>891</v>
      </c>
      <c r="J37" t="s">
        <v>898</v>
      </c>
      <c r="K37" t="s">
        <v>934</v>
      </c>
      <c r="L37" t="s">
        <v>488</v>
      </c>
    </row>
    <row r="38" spans="1:12" x14ac:dyDescent="0.3">
      <c r="A38" t="s">
        <v>110</v>
      </c>
      <c r="B38" t="s">
        <v>125</v>
      </c>
      <c r="C38" t="s">
        <v>896</v>
      </c>
      <c r="D38" s="4">
        <v>56.27</v>
      </c>
      <c r="E38" s="4">
        <v>0.77200000000000002</v>
      </c>
      <c r="F38" s="4">
        <v>0.56399999999999995</v>
      </c>
      <c r="G38" s="4">
        <v>0.42399999999999999</v>
      </c>
      <c r="H38" s="4">
        <v>0.61499999999999999</v>
      </c>
      <c r="I38" t="s">
        <v>891</v>
      </c>
      <c r="J38" t="s">
        <v>48</v>
      </c>
      <c r="K38" t="s">
        <v>935</v>
      </c>
      <c r="L38" t="s">
        <v>488</v>
      </c>
    </row>
    <row r="39" spans="1:12" x14ac:dyDescent="0.3">
      <c r="A39" t="s">
        <v>110</v>
      </c>
      <c r="B39" t="s">
        <v>318</v>
      </c>
      <c r="C39" t="s">
        <v>906</v>
      </c>
      <c r="D39" s="4">
        <v>8.1999999999999993</v>
      </c>
      <c r="E39" s="4">
        <v>0.69799999999999995</v>
      </c>
      <c r="F39" s="4">
        <v>0.374</v>
      </c>
      <c r="G39" s="4">
        <v>0.69</v>
      </c>
      <c r="H39" s="4">
        <v>0.59199999999999997</v>
      </c>
      <c r="I39" t="s">
        <v>907</v>
      </c>
      <c r="J39" t="s">
        <v>928</v>
      </c>
      <c r="K39" t="s">
        <v>936</v>
      </c>
      <c r="L39" t="s">
        <v>488</v>
      </c>
    </row>
    <row r="40" spans="1:12" x14ac:dyDescent="0.3">
      <c r="A40" t="s">
        <v>112</v>
      </c>
      <c r="B40" t="s">
        <v>171</v>
      </c>
      <c r="C40" t="s">
        <v>890</v>
      </c>
      <c r="D40" s="4">
        <v>2.98</v>
      </c>
      <c r="E40" s="4">
        <v>0.85699999999999998</v>
      </c>
      <c r="F40" s="4">
        <v>0.89300000000000002</v>
      </c>
      <c r="G40" s="4">
        <v>0.72099999999999997</v>
      </c>
      <c r="H40" s="4">
        <v>0.83299999999999996</v>
      </c>
      <c r="I40" t="s">
        <v>891</v>
      </c>
      <c r="J40" t="s">
        <v>48</v>
      </c>
      <c r="K40" t="s">
        <v>937</v>
      </c>
      <c r="L40" t="s">
        <v>488</v>
      </c>
    </row>
    <row r="41" spans="1:12" x14ac:dyDescent="0.3">
      <c r="A41" t="s">
        <v>112</v>
      </c>
      <c r="B41" t="s">
        <v>133</v>
      </c>
      <c r="C41" t="s">
        <v>896</v>
      </c>
      <c r="D41" s="4">
        <v>20.329999999999998</v>
      </c>
      <c r="E41" s="4">
        <v>0.90600000000000003</v>
      </c>
      <c r="F41" s="4">
        <v>0.81599999999999995</v>
      </c>
      <c r="G41" s="4">
        <v>0.745</v>
      </c>
      <c r="H41" s="4">
        <v>0.83499999999999996</v>
      </c>
      <c r="I41" t="s">
        <v>891</v>
      </c>
      <c r="J41" t="s">
        <v>898</v>
      </c>
      <c r="K41" t="s">
        <v>938</v>
      </c>
      <c r="L41" t="s">
        <v>488</v>
      </c>
    </row>
    <row r="42" spans="1:12" x14ac:dyDescent="0.3">
      <c r="A42" t="s">
        <v>112</v>
      </c>
      <c r="B42" t="s">
        <v>119</v>
      </c>
      <c r="C42" t="s">
        <v>896</v>
      </c>
      <c r="D42" s="4">
        <v>22.24</v>
      </c>
      <c r="E42" s="4">
        <v>0.78800000000000003</v>
      </c>
      <c r="F42" s="4">
        <v>0.76800000000000002</v>
      </c>
      <c r="G42" s="4">
        <v>0.68</v>
      </c>
      <c r="H42" s="4">
        <v>0.753</v>
      </c>
      <c r="I42" t="s">
        <v>891</v>
      </c>
      <c r="J42" t="s">
        <v>892</v>
      </c>
      <c r="K42" t="s">
        <v>939</v>
      </c>
      <c r="L42" t="s">
        <v>488</v>
      </c>
    </row>
    <row r="43" spans="1:12" x14ac:dyDescent="0.3">
      <c r="A43" t="s">
        <v>114</v>
      </c>
      <c r="B43" t="s">
        <v>154</v>
      </c>
      <c r="C43" t="s">
        <v>906</v>
      </c>
      <c r="D43" s="4">
        <v>23.42</v>
      </c>
      <c r="E43" s="4">
        <v>0.69599999999999995</v>
      </c>
      <c r="F43" s="4">
        <v>0.26900000000000002</v>
      </c>
      <c r="G43" s="4">
        <v>0.79300000000000004</v>
      </c>
      <c r="H43" s="4">
        <v>0.58499999999999996</v>
      </c>
      <c r="I43" t="s">
        <v>907</v>
      </c>
      <c r="J43" t="s">
        <v>48</v>
      </c>
      <c r="K43" t="s">
        <v>940</v>
      </c>
      <c r="L43" t="s">
        <v>488</v>
      </c>
    </row>
    <row r="44" spans="1:12" x14ac:dyDescent="0.3">
      <c r="A44" t="s">
        <v>114</v>
      </c>
      <c r="B44" t="s">
        <v>156</v>
      </c>
      <c r="C44" t="s">
        <v>912</v>
      </c>
      <c r="D44" s="4">
        <v>35.78</v>
      </c>
      <c r="E44" s="4">
        <v>0.69499999999999995</v>
      </c>
      <c r="F44" s="4">
        <v>0.17</v>
      </c>
      <c r="G44" s="4">
        <v>0.46100000000000002</v>
      </c>
      <c r="H44" s="4">
        <v>0.46600000000000003</v>
      </c>
      <c r="I44" t="s">
        <v>907</v>
      </c>
      <c r="J44" t="s">
        <v>48</v>
      </c>
      <c r="K44" t="s">
        <v>941</v>
      </c>
      <c r="L44" t="s">
        <v>488</v>
      </c>
    </row>
    <row r="45" spans="1:12" x14ac:dyDescent="0.3">
      <c r="A45" t="s">
        <v>114</v>
      </c>
      <c r="B45" t="s">
        <v>166</v>
      </c>
      <c r="C45" t="s">
        <v>912</v>
      </c>
      <c r="D45" s="4">
        <v>40.950000000000003</v>
      </c>
      <c r="E45" s="4">
        <v>0.67200000000000004</v>
      </c>
      <c r="F45" s="4">
        <v>0.224</v>
      </c>
      <c r="G45" s="4">
        <v>0.55200000000000005</v>
      </c>
      <c r="H45" s="4">
        <v>0.497</v>
      </c>
      <c r="I45" t="s">
        <v>907</v>
      </c>
      <c r="J45" t="s">
        <v>48</v>
      </c>
      <c r="K45" t="s">
        <v>942</v>
      </c>
      <c r="L45" t="s">
        <v>488</v>
      </c>
    </row>
    <row r="46" spans="1:12" x14ac:dyDescent="0.3">
      <c r="A46" t="s">
        <v>114</v>
      </c>
      <c r="B46" t="s">
        <v>131</v>
      </c>
      <c r="C46" t="s">
        <v>896</v>
      </c>
      <c r="D46" s="4">
        <v>72.569999999999993</v>
      </c>
      <c r="E46" s="4">
        <v>0.78700000000000003</v>
      </c>
      <c r="F46" s="4">
        <v>0.41299999999999998</v>
      </c>
      <c r="G46" s="4">
        <v>0.32900000000000001</v>
      </c>
      <c r="H46" s="4">
        <v>0.54900000000000004</v>
      </c>
      <c r="I46" t="s">
        <v>891</v>
      </c>
      <c r="J46" t="s">
        <v>48</v>
      </c>
      <c r="K46" t="s">
        <v>943</v>
      </c>
      <c r="L46" t="s">
        <v>488</v>
      </c>
    </row>
    <row r="47" spans="1:12" x14ac:dyDescent="0.3">
      <c r="A47" t="s">
        <v>117</v>
      </c>
      <c r="B47" t="s">
        <v>160</v>
      </c>
      <c r="C47" t="s">
        <v>890</v>
      </c>
      <c r="D47" s="4">
        <v>13.78</v>
      </c>
      <c r="E47" s="4">
        <v>0.872</v>
      </c>
      <c r="F47" s="4">
        <v>0.81399999999999995</v>
      </c>
      <c r="G47" s="4">
        <v>0.79400000000000004</v>
      </c>
      <c r="H47" s="4">
        <v>0.83299999999999996</v>
      </c>
      <c r="I47" t="s">
        <v>891</v>
      </c>
      <c r="J47" t="s">
        <v>48</v>
      </c>
      <c r="K47" t="s">
        <v>944</v>
      </c>
      <c r="L47" t="s">
        <v>488</v>
      </c>
    </row>
    <row r="48" spans="1:12" x14ac:dyDescent="0.3">
      <c r="A48" t="s">
        <v>117</v>
      </c>
      <c r="B48" t="s">
        <v>129</v>
      </c>
      <c r="C48" t="s">
        <v>896</v>
      </c>
      <c r="D48" s="4">
        <v>25.06</v>
      </c>
      <c r="E48" s="4">
        <v>0.92</v>
      </c>
      <c r="F48" s="4">
        <v>0.75</v>
      </c>
      <c r="G48" s="4">
        <v>0.624</v>
      </c>
      <c r="H48" s="4">
        <v>0.78900000000000003</v>
      </c>
      <c r="I48" t="s">
        <v>891</v>
      </c>
      <c r="J48" t="s">
        <v>48</v>
      </c>
      <c r="K48" t="s">
        <v>945</v>
      </c>
      <c r="L48" t="s">
        <v>488</v>
      </c>
    </row>
    <row r="49" spans="1:12" x14ac:dyDescent="0.3">
      <c r="A49" t="s">
        <v>117</v>
      </c>
      <c r="B49" t="s">
        <v>125</v>
      </c>
      <c r="C49" t="s">
        <v>896</v>
      </c>
      <c r="D49" s="4">
        <v>26.79</v>
      </c>
      <c r="E49" s="4">
        <v>0.80900000000000005</v>
      </c>
      <c r="F49" s="4">
        <v>0.70099999999999996</v>
      </c>
      <c r="G49" s="4">
        <v>0.68400000000000005</v>
      </c>
      <c r="H49" s="4">
        <v>0.74199999999999999</v>
      </c>
      <c r="I49" t="s">
        <v>891</v>
      </c>
      <c r="J49" t="s">
        <v>48</v>
      </c>
      <c r="K49" t="s">
        <v>946</v>
      </c>
      <c r="L49" t="s">
        <v>488</v>
      </c>
    </row>
    <row r="50" spans="1:12" x14ac:dyDescent="0.3">
      <c r="A50" t="s">
        <v>117</v>
      </c>
      <c r="B50" t="s">
        <v>173</v>
      </c>
      <c r="C50" t="s">
        <v>912</v>
      </c>
      <c r="D50" s="4">
        <v>20.09</v>
      </c>
      <c r="E50" s="4">
        <v>0.83799999999999997</v>
      </c>
      <c r="F50" s="4">
        <v>0.32700000000000001</v>
      </c>
      <c r="G50" s="4">
        <v>0.60199999999999998</v>
      </c>
      <c r="H50" s="4">
        <v>0.61299999999999999</v>
      </c>
      <c r="I50" t="s">
        <v>907</v>
      </c>
      <c r="J50" t="s">
        <v>48</v>
      </c>
      <c r="K50" t="s">
        <v>947</v>
      </c>
      <c r="L50" t="s">
        <v>488</v>
      </c>
    </row>
    <row r="51" spans="1:12" x14ac:dyDescent="0.3">
      <c r="A51" t="s">
        <v>119</v>
      </c>
      <c r="B51" t="s">
        <v>136</v>
      </c>
      <c r="C51" t="s">
        <v>896</v>
      </c>
      <c r="D51" s="4">
        <v>15.28</v>
      </c>
      <c r="E51" s="4">
        <v>0.76900000000000002</v>
      </c>
      <c r="F51" s="4">
        <v>0.82399999999999995</v>
      </c>
      <c r="G51" s="4">
        <v>0.79700000000000004</v>
      </c>
      <c r="H51" s="4">
        <v>0.79400000000000004</v>
      </c>
      <c r="I51" t="s">
        <v>891</v>
      </c>
      <c r="J51" t="s">
        <v>892</v>
      </c>
      <c r="K51" t="s">
        <v>948</v>
      </c>
      <c r="L51" t="s">
        <v>488</v>
      </c>
    </row>
    <row r="52" spans="1:12" x14ac:dyDescent="0.3">
      <c r="A52" t="s">
        <v>119</v>
      </c>
      <c r="B52" t="s">
        <v>171</v>
      </c>
      <c r="C52" t="s">
        <v>896</v>
      </c>
      <c r="D52" s="4">
        <v>22.51</v>
      </c>
      <c r="E52" s="4">
        <v>0.68</v>
      </c>
      <c r="F52" s="4">
        <v>0.73699999999999999</v>
      </c>
      <c r="G52" s="4">
        <v>0.502</v>
      </c>
      <c r="H52" s="4">
        <v>0.65200000000000002</v>
      </c>
      <c r="I52" t="s">
        <v>891</v>
      </c>
      <c r="J52" t="s">
        <v>892</v>
      </c>
      <c r="K52" t="s">
        <v>949</v>
      </c>
      <c r="L52" t="s">
        <v>488</v>
      </c>
    </row>
    <row r="53" spans="1:12" x14ac:dyDescent="0.3">
      <c r="A53" t="s">
        <v>123</v>
      </c>
      <c r="B53" t="s">
        <v>127</v>
      </c>
      <c r="C53" t="s">
        <v>896</v>
      </c>
      <c r="D53" s="4">
        <v>34.31</v>
      </c>
      <c r="E53" s="4">
        <v>0.377</v>
      </c>
      <c r="F53" s="4">
        <v>0.71099999999999997</v>
      </c>
      <c r="G53" s="4">
        <v>0.66100000000000003</v>
      </c>
      <c r="H53" s="4">
        <v>0.55800000000000005</v>
      </c>
      <c r="I53" t="s">
        <v>891</v>
      </c>
      <c r="J53" t="s">
        <v>892</v>
      </c>
      <c r="K53" t="s">
        <v>950</v>
      </c>
      <c r="L53" t="s">
        <v>488</v>
      </c>
    </row>
    <row r="54" spans="1:12" x14ac:dyDescent="0.3">
      <c r="A54" t="s">
        <v>123</v>
      </c>
      <c r="B54" t="s">
        <v>396</v>
      </c>
      <c r="C54" t="s">
        <v>896</v>
      </c>
      <c r="D54" s="4">
        <v>19.11</v>
      </c>
      <c r="E54" s="4">
        <v>0.79400000000000004</v>
      </c>
      <c r="F54" s="4">
        <v>0.80400000000000005</v>
      </c>
      <c r="G54" s="4">
        <v>0.77700000000000002</v>
      </c>
      <c r="H54" s="4">
        <v>0.79300000000000004</v>
      </c>
      <c r="I54" t="s">
        <v>891</v>
      </c>
      <c r="J54" t="s">
        <v>48</v>
      </c>
      <c r="K54" t="s">
        <v>951</v>
      </c>
      <c r="L54" t="s">
        <v>488</v>
      </c>
    </row>
    <row r="55" spans="1:12" x14ac:dyDescent="0.3">
      <c r="A55" t="s">
        <v>123</v>
      </c>
      <c r="B55" t="s">
        <v>377</v>
      </c>
      <c r="C55" t="s">
        <v>912</v>
      </c>
      <c r="D55" s="4">
        <v>12.46</v>
      </c>
      <c r="E55" s="4">
        <v>0.82699999999999996</v>
      </c>
      <c r="F55" s="4">
        <v>0.374</v>
      </c>
      <c r="G55" s="4">
        <v>0.69499999999999995</v>
      </c>
      <c r="H55" s="4">
        <v>0.64800000000000002</v>
      </c>
      <c r="I55" t="s">
        <v>907</v>
      </c>
      <c r="J55" t="s">
        <v>48</v>
      </c>
      <c r="K55" t="s">
        <v>952</v>
      </c>
      <c r="L55" t="s">
        <v>488</v>
      </c>
    </row>
    <row r="56" spans="1:12" x14ac:dyDescent="0.3">
      <c r="A56" t="s">
        <v>125</v>
      </c>
      <c r="B56" t="s">
        <v>129</v>
      </c>
      <c r="C56" t="s">
        <v>896</v>
      </c>
      <c r="D56" s="4">
        <v>24.99</v>
      </c>
      <c r="E56" s="4">
        <v>0.72899999999999998</v>
      </c>
      <c r="F56" s="4">
        <v>0.72199999999999998</v>
      </c>
      <c r="G56" s="4">
        <v>0.437</v>
      </c>
      <c r="H56" s="4">
        <v>0.65100000000000002</v>
      </c>
      <c r="I56" t="s">
        <v>891</v>
      </c>
      <c r="J56" t="s">
        <v>48</v>
      </c>
      <c r="K56" t="s">
        <v>953</v>
      </c>
      <c r="L56" t="s">
        <v>488</v>
      </c>
    </row>
    <row r="57" spans="1:12" x14ac:dyDescent="0.3">
      <c r="A57" t="s">
        <v>125</v>
      </c>
      <c r="B57" t="s">
        <v>160</v>
      </c>
      <c r="C57" t="s">
        <v>896</v>
      </c>
      <c r="D57" s="4">
        <v>31.23</v>
      </c>
      <c r="E57" s="4">
        <v>0.86499999999999999</v>
      </c>
      <c r="F57" s="4">
        <v>0.73699999999999999</v>
      </c>
      <c r="G57" s="4">
        <v>0.51</v>
      </c>
      <c r="H57" s="4">
        <v>0.73199999999999998</v>
      </c>
      <c r="I57" t="s">
        <v>891</v>
      </c>
      <c r="J57" t="s">
        <v>48</v>
      </c>
      <c r="K57" t="s">
        <v>954</v>
      </c>
      <c r="L57" t="s">
        <v>488</v>
      </c>
    </row>
    <row r="58" spans="1:12" x14ac:dyDescent="0.3">
      <c r="A58" t="s">
        <v>125</v>
      </c>
      <c r="B58" t="s">
        <v>238</v>
      </c>
      <c r="C58" t="s">
        <v>890</v>
      </c>
      <c r="D58" s="4">
        <v>1.61</v>
      </c>
      <c r="E58" s="4">
        <v>0.81399999999999995</v>
      </c>
      <c r="F58" s="4">
        <v>0.88700000000000001</v>
      </c>
      <c r="G58" s="4">
        <v>0.61499999999999999</v>
      </c>
      <c r="H58" s="4">
        <v>0.78500000000000003</v>
      </c>
      <c r="I58" t="s">
        <v>891</v>
      </c>
      <c r="J58" t="s">
        <v>48</v>
      </c>
      <c r="K58" t="s">
        <v>955</v>
      </c>
      <c r="L58" t="s">
        <v>488</v>
      </c>
    </row>
    <row r="59" spans="1:12" x14ac:dyDescent="0.3">
      <c r="A59" t="s">
        <v>127</v>
      </c>
      <c r="B59" t="s">
        <v>396</v>
      </c>
      <c r="C59" t="s">
        <v>896</v>
      </c>
      <c r="D59" s="4">
        <v>20.420000000000002</v>
      </c>
      <c r="E59" s="4">
        <v>0.32300000000000001</v>
      </c>
      <c r="F59" s="4">
        <v>0.80700000000000005</v>
      </c>
      <c r="G59" s="4">
        <v>0.46700000000000003</v>
      </c>
      <c r="H59" s="4">
        <v>0.51500000000000001</v>
      </c>
      <c r="I59" t="s">
        <v>891</v>
      </c>
      <c r="J59" t="s">
        <v>892</v>
      </c>
      <c r="K59" t="s">
        <v>956</v>
      </c>
      <c r="L59" t="s">
        <v>488</v>
      </c>
    </row>
    <row r="60" spans="1:12" x14ac:dyDescent="0.3">
      <c r="A60" t="s">
        <v>127</v>
      </c>
      <c r="B60" t="s">
        <v>380</v>
      </c>
      <c r="C60" t="s">
        <v>906</v>
      </c>
      <c r="D60" s="4">
        <v>5.96</v>
      </c>
      <c r="E60" s="4">
        <v>0.22500000000000001</v>
      </c>
      <c r="F60" s="4">
        <v>0.41399999999999998</v>
      </c>
      <c r="G60" s="4">
        <v>0.81899999999999995</v>
      </c>
      <c r="H60" s="4">
        <v>0.44</v>
      </c>
      <c r="I60" t="s">
        <v>907</v>
      </c>
      <c r="J60" t="s">
        <v>892</v>
      </c>
      <c r="K60" t="s">
        <v>957</v>
      </c>
      <c r="L60" t="s">
        <v>488</v>
      </c>
    </row>
    <row r="61" spans="1:12" x14ac:dyDescent="0.3">
      <c r="A61" t="s">
        <v>129</v>
      </c>
      <c r="B61" t="s">
        <v>160</v>
      </c>
      <c r="C61" t="s">
        <v>896</v>
      </c>
      <c r="D61" s="4">
        <v>37.840000000000003</v>
      </c>
      <c r="E61" s="4">
        <v>0.84299999999999997</v>
      </c>
      <c r="F61" s="4">
        <v>0.748</v>
      </c>
      <c r="G61" s="4">
        <v>0.42799999999999999</v>
      </c>
      <c r="H61" s="4">
        <v>0.70499999999999996</v>
      </c>
      <c r="I61" t="s">
        <v>891</v>
      </c>
      <c r="J61" t="s">
        <v>48</v>
      </c>
      <c r="K61" t="s">
        <v>958</v>
      </c>
      <c r="L61" t="s">
        <v>488</v>
      </c>
    </row>
    <row r="62" spans="1:12" x14ac:dyDescent="0.3">
      <c r="A62" t="s">
        <v>129</v>
      </c>
      <c r="B62" t="s">
        <v>166</v>
      </c>
      <c r="C62" t="s">
        <v>896</v>
      </c>
      <c r="D62" s="4">
        <v>39.82</v>
      </c>
      <c r="E62" s="4">
        <v>0.79300000000000004</v>
      </c>
      <c r="F62" s="4">
        <v>0.66500000000000004</v>
      </c>
      <c r="G62" s="4">
        <v>0.59299999999999997</v>
      </c>
      <c r="H62" s="4">
        <v>0.7</v>
      </c>
      <c r="I62" t="s">
        <v>891</v>
      </c>
      <c r="J62" t="s">
        <v>48</v>
      </c>
      <c r="K62" t="s">
        <v>959</v>
      </c>
      <c r="L62" t="s">
        <v>488</v>
      </c>
    </row>
    <row r="63" spans="1:12" x14ac:dyDescent="0.3">
      <c r="A63" t="s">
        <v>131</v>
      </c>
      <c r="B63" t="s">
        <v>173</v>
      </c>
      <c r="C63" t="s">
        <v>896</v>
      </c>
      <c r="D63" s="4">
        <v>28.61</v>
      </c>
      <c r="E63" s="4">
        <v>0.90200000000000002</v>
      </c>
      <c r="F63" s="4">
        <v>0.72799999999999998</v>
      </c>
      <c r="G63" s="4">
        <v>0.71599999999999997</v>
      </c>
      <c r="H63" s="4">
        <v>0.79800000000000004</v>
      </c>
      <c r="I63" t="s">
        <v>891</v>
      </c>
      <c r="J63" t="s">
        <v>48</v>
      </c>
      <c r="K63" t="s">
        <v>960</v>
      </c>
      <c r="L63" t="s">
        <v>488</v>
      </c>
    </row>
    <row r="64" spans="1:12" x14ac:dyDescent="0.3">
      <c r="A64" t="s">
        <v>131</v>
      </c>
      <c r="B64" t="s">
        <v>117</v>
      </c>
      <c r="C64" t="s">
        <v>912</v>
      </c>
      <c r="D64" s="4">
        <v>25.05</v>
      </c>
      <c r="E64" s="4">
        <v>0.86399999999999999</v>
      </c>
      <c r="F64" s="4">
        <v>0.32300000000000001</v>
      </c>
      <c r="G64" s="4">
        <v>0.46899999999999997</v>
      </c>
      <c r="H64" s="4">
        <v>0.58799999999999997</v>
      </c>
      <c r="I64" t="s">
        <v>907</v>
      </c>
      <c r="J64" t="s">
        <v>48</v>
      </c>
      <c r="K64" t="s">
        <v>961</v>
      </c>
      <c r="L64" t="s">
        <v>488</v>
      </c>
    </row>
    <row r="65" spans="1:12" x14ac:dyDescent="0.3">
      <c r="A65" t="s">
        <v>131</v>
      </c>
      <c r="B65" t="s">
        <v>129</v>
      </c>
      <c r="C65" t="s">
        <v>912</v>
      </c>
      <c r="D65" s="4">
        <v>25.87</v>
      </c>
      <c r="E65" s="4">
        <v>0.90900000000000003</v>
      </c>
      <c r="F65" s="4">
        <v>0.30499999999999999</v>
      </c>
      <c r="G65" s="4">
        <v>0.50600000000000001</v>
      </c>
      <c r="H65" s="4">
        <v>0.61099999999999999</v>
      </c>
      <c r="I65" t="s">
        <v>907</v>
      </c>
      <c r="J65" t="s">
        <v>48</v>
      </c>
      <c r="K65" t="s">
        <v>962</v>
      </c>
      <c r="L65" t="s">
        <v>488</v>
      </c>
    </row>
    <row r="66" spans="1:12" x14ac:dyDescent="0.3">
      <c r="A66" t="s">
        <v>133</v>
      </c>
      <c r="B66" t="s">
        <v>171</v>
      </c>
      <c r="C66" t="s">
        <v>896</v>
      </c>
      <c r="D66" s="4">
        <v>22.64</v>
      </c>
      <c r="E66" s="4">
        <v>0.90500000000000003</v>
      </c>
      <c r="F66" s="4">
        <v>0.78600000000000003</v>
      </c>
      <c r="G66" s="4">
        <v>0.64100000000000001</v>
      </c>
      <c r="H66" s="4">
        <v>0.79900000000000004</v>
      </c>
      <c r="I66" t="s">
        <v>891</v>
      </c>
      <c r="J66" t="s">
        <v>898</v>
      </c>
      <c r="K66" t="s">
        <v>963</v>
      </c>
      <c r="L66" t="s">
        <v>488</v>
      </c>
    </row>
    <row r="67" spans="1:12" x14ac:dyDescent="0.3">
      <c r="A67" t="s">
        <v>133</v>
      </c>
      <c r="B67" t="s">
        <v>72</v>
      </c>
      <c r="C67" t="s">
        <v>896</v>
      </c>
      <c r="D67" s="4">
        <v>28.51</v>
      </c>
      <c r="E67" s="4">
        <v>0.90100000000000002</v>
      </c>
      <c r="F67" s="4">
        <v>0.73699999999999999</v>
      </c>
      <c r="G67" s="4">
        <v>0.72299999999999998</v>
      </c>
      <c r="H67" s="4">
        <v>0.80200000000000005</v>
      </c>
      <c r="I67" t="s">
        <v>891</v>
      </c>
      <c r="J67" t="s">
        <v>898</v>
      </c>
      <c r="K67" t="s">
        <v>964</v>
      </c>
      <c r="L67" t="s">
        <v>488</v>
      </c>
    </row>
    <row r="68" spans="1:12" x14ac:dyDescent="0.3">
      <c r="A68" t="s">
        <v>136</v>
      </c>
      <c r="B68" t="s">
        <v>164</v>
      </c>
      <c r="C68" t="s">
        <v>906</v>
      </c>
      <c r="D68" s="4">
        <v>11.75</v>
      </c>
      <c r="E68" s="4">
        <v>0.94199999999999995</v>
      </c>
      <c r="F68" s="4">
        <v>0.41</v>
      </c>
      <c r="G68" s="4">
        <v>0.61899999999999999</v>
      </c>
      <c r="H68" s="4">
        <v>0.68799999999999994</v>
      </c>
      <c r="I68" t="s">
        <v>907</v>
      </c>
      <c r="J68" t="s">
        <v>48</v>
      </c>
      <c r="K68" t="s">
        <v>965</v>
      </c>
      <c r="L68" t="s">
        <v>488</v>
      </c>
    </row>
    <row r="69" spans="1:12" x14ac:dyDescent="0.3">
      <c r="A69" t="s">
        <v>136</v>
      </c>
      <c r="B69" t="s">
        <v>112</v>
      </c>
      <c r="C69" t="s">
        <v>896</v>
      </c>
      <c r="D69" s="4">
        <v>35.979999999999997</v>
      </c>
      <c r="E69" s="4">
        <v>0.94</v>
      </c>
      <c r="F69" s="4">
        <v>0.70499999999999996</v>
      </c>
      <c r="G69" s="4">
        <v>0.49099999999999999</v>
      </c>
      <c r="H69" s="4">
        <v>0.748</v>
      </c>
      <c r="I69" t="s">
        <v>891</v>
      </c>
      <c r="J69" t="s">
        <v>48</v>
      </c>
      <c r="K69" t="s">
        <v>966</v>
      </c>
      <c r="L69" t="s">
        <v>488</v>
      </c>
    </row>
    <row r="70" spans="1:12" x14ac:dyDescent="0.3">
      <c r="A70" t="s">
        <v>138</v>
      </c>
      <c r="B70" t="s">
        <v>254</v>
      </c>
      <c r="C70" t="s">
        <v>890</v>
      </c>
      <c r="D70" s="4">
        <v>9.5500000000000007</v>
      </c>
      <c r="E70" s="4">
        <v>0.76400000000000001</v>
      </c>
      <c r="F70" s="4">
        <v>0.81399999999999995</v>
      </c>
      <c r="G70" s="4">
        <v>0.78</v>
      </c>
      <c r="H70" s="4">
        <v>0.78400000000000003</v>
      </c>
      <c r="I70" t="s">
        <v>891</v>
      </c>
      <c r="J70" t="s">
        <v>892</v>
      </c>
      <c r="K70" t="s">
        <v>967</v>
      </c>
      <c r="L70" t="s">
        <v>488</v>
      </c>
    </row>
    <row r="71" spans="1:12" x14ac:dyDescent="0.3">
      <c r="A71" t="s">
        <v>138</v>
      </c>
      <c r="B71" t="s">
        <v>108</v>
      </c>
      <c r="C71" t="s">
        <v>896</v>
      </c>
      <c r="D71" s="4">
        <v>50.24</v>
      </c>
      <c r="E71" s="4">
        <v>0.82799999999999996</v>
      </c>
      <c r="F71" s="4">
        <v>0.623</v>
      </c>
      <c r="G71" s="4">
        <v>0.54400000000000004</v>
      </c>
      <c r="H71" s="4">
        <v>0.68899999999999995</v>
      </c>
      <c r="I71" t="s">
        <v>891</v>
      </c>
      <c r="J71" t="s">
        <v>892</v>
      </c>
      <c r="K71" t="s">
        <v>968</v>
      </c>
      <c r="L71" t="s">
        <v>488</v>
      </c>
    </row>
    <row r="72" spans="1:12" x14ac:dyDescent="0.3">
      <c r="A72" t="s">
        <v>138</v>
      </c>
      <c r="B72" t="s">
        <v>173</v>
      </c>
      <c r="C72" t="s">
        <v>912</v>
      </c>
      <c r="D72" s="4">
        <v>49.47</v>
      </c>
      <c r="E72" s="4">
        <v>0.748</v>
      </c>
      <c r="F72" s="4">
        <v>0.13200000000000001</v>
      </c>
      <c r="G72" s="4">
        <v>0.27</v>
      </c>
      <c r="H72" s="4">
        <v>0.42599999999999999</v>
      </c>
      <c r="I72" t="s">
        <v>907</v>
      </c>
      <c r="J72" t="s">
        <v>892</v>
      </c>
      <c r="K72" t="s">
        <v>969</v>
      </c>
      <c r="L72" t="s">
        <v>488</v>
      </c>
    </row>
    <row r="73" spans="1:12" x14ac:dyDescent="0.3">
      <c r="A73" t="s">
        <v>140</v>
      </c>
      <c r="B73" t="s">
        <v>175</v>
      </c>
      <c r="C73" t="s">
        <v>906</v>
      </c>
      <c r="D73" s="4">
        <v>27.66</v>
      </c>
      <c r="E73" s="4">
        <v>0.77700000000000002</v>
      </c>
      <c r="F73" s="4">
        <v>0.29899999999999999</v>
      </c>
      <c r="G73" s="4">
        <v>0.69099999999999995</v>
      </c>
      <c r="H73" s="4">
        <v>0.60199999999999998</v>
      </c>
      <c r="I73" t="s">
        <v>907</v>
      </c>
      <c r="J73" t="s">
        <v>892</v>
      </c>
      <c r="K73" t="s">
        <v>970</v>
      </c>
      <c r="L73" t="s">
        <v>488</v>
      </c>
    </row>
    <row r="74" spans="1:12" x14ac:dyDescent="0.3">
      <c r="A74" t="s">
        <v>140</v>
      </c>
      <c r="B74" t="s">
        <v>169</v>
      </c>
      <c r="C74" t="s">
        <v>906</v>
      </c>
      <c r="D74" s="4">
        <v>30.78</v>
      </c>
      <c r="E74" s="4">
        <v>0.72699999999999998</v>
      </c>
      <c r="F74" s="4">
        <v>0.248</v>
      </c>
      <c r="G74" s="4">
        <v>0.56000000000000005</v>
      </c>
      <c r="H74" s="4">
        <v>0.53100000000000003</v>
      </c>
      <c r="I74" t="s">
        <v>907</v>
      </c>
      <c r="J74" t="s">
        <v>892</v>
      </c>
      <c r="K74" t="s">
        <v>971</v>
      </c>
      <c r="L74" t="s">
        <v>488</v>
      </c>
    </row>
    <row r="75" spans="1:12" x14ac:dyDescent="0.3">
      <c r="A75" t="s">
        <v>140</v>
      </c>
      <c r="B75" t="s">
        <v>154</v>
      </c>
      <c r="C75" t="s">
        <v>912</v>
      </c>
      <c r="D75" s="4">
        <v>49.14</v>
      </c>
      <c r="E75" s="4">
        <v>0.84199999999999997</v>
      </c>
      <c r="F75" s="4">
        <v>0.14699999999999999</v>
      </c>
      <c r="G75" s="4">
        <v>0.39400000000000002</v>
      </c>
      <c r="H75" s="4">
        <v>0.503</v>
      </c>
      <c r="I75" t="s">
        <v>907</v>
      </c>
      <c r="J75" t="s">
        <v>892</v>
      </c>
      <c r="K75" t="s">
        <v>972</v>
      </c>
      <c r="L75" t="s">
        <v>488</v>
      </c>
    </row>
    <row r="76" spans="1:12" x14ac:dyDescent="0.3">
      <c r="A76" t="s">
        <v>145</v>
      </c>
      <c r="B76" t="s">
        <v>150</v>
      </c>
      <c r="C76" t="s">
        <v>896</v>
      </c>
      <c r="D76" s="4">
        <v>66.290000000000006</v>
      </c>
      <c r="E76" s="4">
        <v>0.83299999999999996</v>
      </c>
      <c r="F76" s="4">
        <v>0.51900000000000002</v>
      </c>
      <c r="G76" s="4">
        <v>0.4</v>
      </c>
      <c r="H76" s="4">
        <v>0.62</v>
      </c>
      <c r="I76" t="s">
        <v>891</v>
      </c>
      <c r="J76" t="s">
        <v>892</v>
      </c>
      <c r="K76" t="s">
        <v>973</v>
      </c>
      <c r="L76" t="s">
        <v>488</v>
      </c>
    </row>
    <row r="77" spans="1:12" x14ac:dyDescent="0.3">
      <c r="A77" t="s">
        <v>145</v>
      </c>
      <c r="B77" t="s">
        <v>127</v>
      </c>
      <c r="C77" t="s">
        <v>912</v>
      </c>
      <c r="D77" s="4">
        <v>54.37</v>
      </c>
      <c r="E77" s="4">
        <v>0.46500000000000002</v>
      </c>
      <c r="F77" s="4">
        <v>0.19700000000000001</v>
      </c>
      <c r="G77" s="4">
        <v>0.30199999999999999</v>
      </c>
      <c r="H77" s="4">
        <v>0.33700000000000002</v>
      </c>
      <c r="I77" t="s">
        <v>907</v>
      </c>
      <c r="J77" t="s">
        <v>506</v>
      </c>
      <c r="K77" t="s">
        <v>974</v>
      </c>
      <c r="L77" t="s">
        <v>488</v>
      </c>
    </row>
    <row r="78" spans="1:12" x14ac:dyDescent="0.3">
      <c r="A78" t="s">
        <v>145</v>
      </c>
      <c r="B78" t="s">
        <v>414</v>
      </c>
      <c r="C78" t="s">
        <v>912</v>
      </c>
      <c r="D78" s="4">
        <v>19.89</v>
      </c>
      <c r="E78" s="4">
        <v>0.88200000000000001</v>
      </c>
      <c r="F78" s="4">
        <v>0.36199999999999999</v>
      </c>
      <c r="G78" s="4">
        <v>0.70799999999999996</v>
      </c>
      <c r="H78" s="4">
        <v>0.67100000000000004</v>
      </c>
      <c r="I78" t="s">
        <v>907</v>
      </c>
      <c r="J78" t="s">
        <v>892</v>
      </c>
      <c r="K78" t="s">
        <v>975</v>
      </c>
      <c r="L78" t="s">
        <v>488</v>
      </c>
    </row>
    <row r="79" spans="1:12" x14ac:dyDescent="0.3">
      <c r="A79" t="s">
        <v>145</v>
      </c>
      <c r="B79" t="s">
        <v>399</v>
      </c>
      <c r="C79" t="s">
        <v>906</v>
      </c>
      <c r="D79" s="4">
        <v>20.52</v>
      </c>
      <c r="E79" s="4">
        <v>0.89</v>
      </c>
      <c r="F79" s="4">
        <v>0.33400000000000002</v>
      </c>
      <c r="G79" s="4">
        <v>0.71499999999999997</v>
      </c>
      <c r="H79" s="4">
        <v>0.66600000000000004</v>
      </c>
      <c r="I79" t="s">
        <v>907</v>
      </c>
      <c r="J79" t="s">
        <v>892</v>
      </c>
      <c r="K79" t="s">
        <v>976</v>
      </c>
      <c r="L79" t="s">
        <v>488</v>
      </c>
    </row>
    <row r="80" spans="1:12" x14ac:dyDescent="0.3">
      <c r="A80" t="s">
        <v>148</v>
      </c>
      <c r="B80" t="s">
        <v>177</v>
      </c>
      <c r="C80" t="s">
        <v>906</v>
      </c>
      <c r="D80" s="4">
        <v>14.93</v>
      </c>
      <c r="E80" s="4">
        <v>0.92500000000000004</v>
      </c>
      <c r="F80" s="4">
        <v>0.33100000000000002</v>
      </c>
      <c r="G80" s="4">
        <v>0.53400000000000003</v>
      </c>
      <c r="H80" s="4">
        <v>0.63300000000000001</v>
      </c>
      <c r="I80" t="s">
        <v>907</v>
      </c>
      <c r="J80" t="s">
        <v>48</v>
      </c>
      <c r="K80" t="s">
        <v>977</v>
      </c>
      <c r="L80" t="s">
        <v>488</v>
      </c>
    </row>
    <row r="81" spans="1:12" x14ac:dyDescent="0.3">
      <c r="A81" t="s">
        <v>148</v>
      </c>
      <c r="B81" t="s">
        <v>162</v>
      </c>
      <c r="C81" t="s">
        <v>912</v>
      </c>
      <c r="D81" s="4">
        <v>38.81</v>
      </c>
      <c r="E81" s="4">
        <v>0.746</v>
      </c>
      <c r="F81" s="4">
        <v>0.193</v>
      </c>
      <c r="G81" s="4">
        <v>0.443</v>
      </c>
      <c r="H81" s="4">
        <v>0.49</v>
      </c>
      <c r="I81" t="s">
        <v>907</v>
      </c>
      <c r="J81" t="s">
        <v>48</v>
      </c>
      <c r="K81" t="s">
        <v>978</v>
      </c>
      <c r="L81" t="s">
        <v>488</v>
      </c>
    </row>
    <row r="82" spans="1:12" x14ac:dyDescent="0.3">
      <c r="A82" t="s">
        <v>148</v>
      </c>
      <c r="B82" t="s">
        <v>158</v>
      </c>
      <c r="C82" t="s">
        <v>906</v>
      </c>
      <c r="D82" s="4">
        <v>48.01</v>
      </c>
      <c r="E82" s="4">
        <v>0.877</v>
      </c>
      <c r="F82" s="4">
        <v>0.184</v>
      </c>
      <c r="G82" s="4">
        <v>0.46600000000000003</v>
      </c>
      <c r="H82" s="4">
        <v>0.54800000000000004</v>
      </c>
      <c r="I82" t="s">
        <v>907</v>
      </c>
      <c r="J82" t="s">
        <v>48</v>
      </c>
      <c r="K82" t="s">
        <v>979</v>
      </c>
      <c r="L82" t="s">
        <v>488</v>
      </c>
    </row>
    <row r="83" spans="1:12" x14ac:dyDescent="0.3">
      <c r="A83" t="s">
        <v>150</v>
      </c>
      <c r="B83" t="s">
        <v>164</v>
      </c>
      <c r="C83" t="s">
        <v>906</v>
      </c>
      <c r="D83" s="4">
        <v>41.61</v>
      </c>
      <c r="E83" s="4">
        <v>0.83299999999999996</v>
      </c>
      <c r="F83" s="4">
        <v>0.254</v>
      </c>
      <c r="G83" s="4">
        <v>0.54300000000000004</v>
      </c>
      <c r="H83" s="4">
        <v>0.57199999999999995</v>
      </c>
      <c r="I83" t="s">
        <v>907</v>
      </c>
      <c r="J83" t="s">
        <v>48</v>
      </c>
      <c r="K83" t="s">
        <v>980</v>
      </c>
      <c r="L83" t="s">
        <v>488</v>
      </c>
    </row>
    <row r="84" spans="1:12" x14ac:dyDescent="0.3">
      <c r="A84" t="s">
        <v>150</v>
      </c>
      <c r="B84" t="s">
        <v>119</v>
      </c>
      <c r="C84" t="s">
        <v>906</v>
      </c>
      <c r="D84" s="4">
        <v>46.12</v>
      </c>
      <c r="E84" s="4">
        <v>0.84599999999999997</v>
      </c>
      <c r="F84" s="4">
        <v>0.19800000000000001</v>
      </c>
      <c r="G84" s="4">
        <v>0.47599999999999998</v>
      </c>
      <c r="H84" s="4">
        <v>0.54200000000000004</v>
      </c>
      <c r="I84" t="s">
        <v>907</v>
      </c>
      <c r="J84" t="s">
        <v>892</v>
      </c>
      <c r="K84" t="s">
        <v>981</v>
      </c>
      <c r="L84" t="s">
        <v>488</v>
      </c>
    </row>
    <row r="85" spans="1:12" x14ac:dyDescent="0.3">
      <c r="A85" t="s">
        <v>150</v>
      </c>
      <c r="B85" t="s">
        <v>72</v>
      </c>
      <c r="C85" t="s">
        <v>912</v>
      </c>
      <c r="D85" s="4">
        <v>51.29</v>
      </c>
      <c r="E85" s="4">
        <v>0.92300000000000004</v>
      </c>
      <c r="F85" s="4">
        <v>0.11600000000000001</v>
      </c>
      <c r="G85" s="4">
        <v>0.36399999999999999</v>
      </c>
      <c r="H85" s="4">
        <v>0.51900000000000002</v>
      </c>
      <c r="I85" t="s">
        <v>907</v>
      </c>
      <c r="J85" t="s">
        <v>48</v>
      </c>
      <c r="K85" t="s">
        <v>982</v>
      </c>
      <c r="L85" t="s">
        <v>488</v>
      </c>
    </row>
    <row r="86" spans="1:12" x14ac:dyDescent="0.3">
      <c r="A86" t="s">
        <v>152</v>
      </c>
      <c r="B86" t="s">
        <v>125</v>
      </c>
      <c r="C86" t="s">
        <v>896</v>
      </c>
      <c r="D86" s="4">
        <v>53.04</v>
      </c>
      <c r="E86" s="4">
        <v>0.84399999999999997</v>
      </c>
      <c r="F86" s="4">
        <v>0.54100000000000004</v>
      </c>
      <c r="G86" s="4">
        <v>0.53</v>
      </c>
      <c r="H86" s="4">
        <v>0.66600000000000004</v>
      </c>
      <c r="I86" t="s">
        <v>891</v>
      </c>
      <c r="J86" t="s">
        <v>898</v>
      </c>
      <c r="K86" t="s">
        <v>983</v>
      </c>
      <c r="L86" t="s">
        <v>488</v>
      </c>
    </row>
    <row r="87" spans="1:12" x14ac:dyDescent="0.3">
      <c r="A87" t="s">
        <v>152</v>
      </c>
      <c r="B87" t="s">
        <v>318</v>
      </c>
      <c r="C87" t="s">
        <v>906</v>
      </c>
      <c r="D87" s="4">
        <v>14.92</v>
      </c>
      <c r="E87" s="4">
        <v>0.60799999999999998</v>
      </c>
      <c r="F87" s="4">
        <v>0.377</v>
      </c>
      <c r="G87" s="4">
        <v>0.82</v>
      </c>
      <c r="H87" s="4">
        <v>0.58899999999999997</v>
      </c>
      <c r="I87" t="s">
        <v>907</v>
      </c>
      <c r="J87" t="s">
        <v>928</v>
      </c>
      <c r="K87" t="s">
        <v>984</v>
      </c>
      <c r="L87" t="s">
        <v>488</v>
      </c>
    </row>
    <row r="88" spans="1:12" x14ac:dyDescent="0.3">
      <c r="A88" t="s">
        <v>154</v>
      </c>
      <c r="B88" t="s">
        <v>156</v>
      </c>
      <c r="C88" t="s">
        <v>906</v>
      </c>
      <c r="D88" s="4">
        <v>21.27</v>
      </c>
      <c r="E88" s="4">
        <v>0.88600000000000001</v>
      </c>
      <c r="F88" s="4">
        <v>0.36499999999999999</v>
      </c>
      <c r="G88" s="4">
        <v>0.72899999999999998</v>
      </c>
      <c r="H88" s="4">
        <v>0.67800000000000005</v>
      </c>
      <c r="I88" t="s">
        <v>907</v>
      </c>
      <c r="J88" t="s">
        <v>48</v>
      </c>
      <c r="K88" t="s">
        <v>985</v>
      </c>
      <c r="L88" t="s">
        <v>488</v>
      </c>
    </row>
    <row r="89" spans="1:12" x14ac:dyDescent="0.3">
      <c r="A89" t="s">
        <v>154</v>
      </c>
      <c r="B89" t="s">
        <v>169</v>
      </c>
      <c r="C89" t="s">
        <v>896</v>
      </c>
      <c r="D89" s="4">
        <v>37.78</v>
      </c>
      <c r="E89" s="4">
        <v>0.88</v>
      </c>
      <c r="F89" s="4">
        <v>0.68700000000000006</v>
      </c>
      <c r="G89" s="4">
        <v>0.56499999999999995</v>
      </c>
      <c r="H89" s="4">
        <v>0.73599999999999999</v>
      </c>
      <c r="I89" t="s">
        <v>891</v>
      </c>
      <c r="J89" t="s">
        <v>48</v>
      </c>
      <c r="K89" t="s">
        <v>986</v>
      </c>
      <c r="L89" t="s">
        <v>488</v>
      </c>
    </row>
    <row r="90" spans="1:12" x14ac:dyDescent="0.3">
      <c r="A90" t="s">
        <v>154</v>
      </c>
      <c r="B90" t="s">
        <v>166</v>
      </c>
      <c r="C90" t="s">
        <v>896</v>
      </c>
      <c r="D90" s="4">
        <v>62.27</v>
      </c>
      <c r="E90" s="4">
        <v>0.88900000000000001</v>
      </c>
      <c r="F90" s="4">
        <v>0.54600000000000004</v>
      </c>
      <c r="G90" s="4">
        <v>0.46899999999999997</v>
      </c>
      <c r="H90" s="4">
        <v>0.67</v>
      </c>
      <c r="I90" t="s">
        <v>891</v>
      </c>
      <c r="J90" t="s">
        <v>48</v>
      </c>
      <c r="K90" t="s">
        <v>987</v>
      </c>
      <c r="L90" t="s">
        <v>488</v>
      </c>
    </row>
    <row r="91" spans="1:12" x14ac:dyDescent="0.3">
      <c r="A91" t="s">
        <v>156</v>
      </c>
      <c r="B91" t="s">
        <v>179</v>
      </c>
      <c r="C91" t="s">
        <v>912</v>
      </c>
      <c r="D91" s="4">
        <v>41.77</v>
      </c>
      <c r="E91" s="4">
        <v>0.88700000000000001</v>
      </c>
      <c r="F91" s="4">
        <v>0.183</v>
      </c>
      <c r="G91" s="4">
        <v>0.66100000000000003</v>
      </c>
      <c r="H91" s="4">
        <v>0.60299999999999998</v>
      </c>
      <c r="I91" t="s">
        <v>907</v>
      </c>
      <c r="J91" t="s">
        <v>48</v>
      </c>
      <c r="K91" t="s">
        <v>988</v>
      </c>
      <c r="L91" t="s">
        <v>488</v>
      </c>
    </row>
    <row r="92" spans="1:12" x14ac:dyDescent="0.3">
      <c r="A92" t="s">
        <v>156</v>
      </c>
      <c r="B92" t="s">
        <v>169</v>
      </c>
      <c r="C92" t="s">
        <v>906</v>
      </c>
      <c r="D92" s="4">
        <v>47.17</v>
      </c>
      <c r="E92" s="4">
        <v>0.89400000000000002</v>
      </c>
      <c r="F92" s="4">
        <v>0.20499999999999999</v>
      </c>
      <c r="G92" s="4">
        <v>0.437</v>
      </c>
      <c r="H92" s="4">
        <v>0.55500000000000005</v>
      </c>
      <c r="I92" t="s">
        <v>907</v>
      </c>
      <c r="J92" t="s">
        <v>48</v>
      </c>
      <c r="K92" t="s">
        <v>989</v>
      </c>
      <c r="L92" t="s">
        <v>488</v>
      </c>
    </row>
    <row r="93" spans="1:12" x14ac:dyDescent="0.3">
      <c r="A93" t="s">
        <v>158</v>
      </c>
      <c r="B93" t="s">
        <v>162</v>
      </c>
      <c r="C93" t="s">
        <v>906</v>
      </c>
      <c r="D93" s="4">
        <v>17.79</v>
      </c>
      <c r="E93" s="4">
        <v>0.73599999999999999</v>
      </c>
      <c r="F93" s="4">
        <v>0.30399999999999999</v>
      </c>
      <c r="G93" s="4">
        <v>0.76200000000000001</v>
      </c>
      <c r="H93" s="4">
        <v>0.60399999999999998</v>
      </c>
      <c r="I93" t="s">
        <v>907</v>
      </c>
      <c r="J93" t="s">
        <v>48</v>
      </c>
      <c r="K93" t="s">
        <v>990</v>
      </c>
      <c r="L93" t="s">
        <v>488</v>
      </c>
    </row>
    <row r="94" spans="1:12" x14ac:dyDescent="0.3">
      <c r="A94" t="s">
        <v>158</v>
      </c>
      <c r="B94" t="s">
        <v>98</v>
      </c>
      <c r="C94" t="s">
        <v>896</v>
      </c>
      <c r="D94" s="4">
        <v>56.75</v>
      </c>
      <c r="E94" s="4">
        <v>0.8</v>
      </c>
      <c r="F94" s="4">
        <v>0.64100000000000001</v>
      </c>
      <c r="G94" s="4">
        <v>0.46800000000000003</v>
      </c>
      <c r="H94" s="4">
        <v>0.66300000000000003</v>
      </c>
      <c r="I94" t="s">
        <v>891</v>
      </c>
      <c r="J94" t="s">
        <v>48</v>
      </c>
      <c r="K94" t="s">
        <v>991</v>
      </c>
      <c r="L94" t="s">
        <v>488</v>
      </c>
    </row>
    <row r="95" spans="1:12" x14ac:dyDescent="0.3">
      <c r="A95" t="s">
        <v>158</v>
      </c>
      <c r="B95" t="s">
        <v>173</v>
      </c>
      <c r="C95" t="s">
        <v>896</v>
      </c>
      <c r="D95" s="4">
        <v>61.31</v>
      </c>
      <c r="E95" s="4">
        <v>0.90100000000000002</v>
      </c>
      <c r="F95" s="4">
        <v>0.55900000000000005</v>
      </c>
      <c r="G95" s="4">
        <v>0.53500000000000003</v>
      </c>
      <c r="H95" s="4">
        <v>0.69599999999999995</v>
      </c>
      <c r="I95" t="s">
        <v>891</v>
      </c>
      <c r="J95" t="s">
        <v>48</v>
      </c>
      <c r="K95" t="s">
        <v>992</v>
      </c>
      <c r="L95" t="s">
        <v>488</v>
      </c>
    </row>
    <row r="96" spans="1:12" x14ac:dyDescent="0.3">
      <c r="A96" t="s">
        <v>160</v>
      </c>
      <c r="B96" t="s">
        <v>173</v>
      </c>
      <c r="C96" t="s">
        <v>912</v>
      </c>
      <c r="D96" s="4">
        <v>19.489999999999998</v>
      </c>
      <c r="E96" s="4">
        <v>0.90200000000000002</v>
      </c>
      <c r="F96" s="4">
        <v>0.35299999999999998</v>
      </c>
      <c r="G96" s="4">
        <v>0.72299999999999998</v>
      </c>
      <c r="H96" s="4">
        <v>0.68</v>
      </c>
      <c r="I96" t="s">
        <v>907</v>
      </c>
      <c r="J96" t="s">
        <v>48</v>
      </c>
      <c r="K96" t="s">
        <v>993</v>
      </c>
      <c r="L96" t="s">
        <v>488</v>
      </c>
    </row>
    <row r="97" spans="1:12" x14ac:dyDescent="0.3">
      <c r="A97" t="s">
        <v>162</v>
      </c>
      <c r="B97" t="s">
        <v>177</v>
      </c>
      <c r="C97" t="s">
        <v>896</v>
      </c>
      <c r="D97" s="4">
        <v>48.63</v>
      </c>
      <c r="E97" s="4">
        <v>0.71199999999999997</v>
      </c>
      <c r="F97" s="4">
        <v>0.61699999999999999</v>
      </c>
      <c r="G97" s="4">
        <v>0.47599999999999998</v>
      </c>
      <c r="H97" s="4">
        <v>0.62</v>
      </c>
      <c r="I97" t="s">
        <v>891</v>
      </c>
      <c r="J97" t="s">
        <v>48</v>
      </c>
      <c r="K97" t="s">
        <v>994</v>
      </c>
      <c r="L97" t="s">
        <v>488</v>
      </c>
    </row>
    <row r="98" spans="1:12" x14ac:dyDescent="0.3">
      <c r="A98" t="s">
        <v>164</v>
      </c>
      <c r="B98" t="s">
        <v>119</v>
      </c>
      <c r="C98" t="s">
        <v>906</v>
      </c>
      <c r="D98" s="4">
        <v>14.92</v>
      </c>
      <c r="E98" s="4">
        <v>0.71799999999999997</v>
      </c>
      <c r="F98" s="4">
        <v>0.32800000000000001</v>
      </c>
      <c r="G98" s="4">
        <v>0.58899999999999997</v>
      </c>
      <c r="H98" s="4">
        <v>0.56000000000000005</v>
      </c>
      <c r="I98" t="s">
        <v>907</v>
      </c>
      <c r="J98" t="s">
        <v>892</v>
      </c>
      <c r="K98" t="s">
        <v>995</v>
      </c>
      <c r="L98" t="s">
        <v>488</v>
      </c>
    </row>
    <row r="99" spans="1:12" x14ac:dyDescent="0.3">
      <c r="A99" t="s">
        <v>164</v>
      </c>
      <c r="B99" t="s">
        <v>72</v>
      </c>
      <c r="C99" t="s">
        <v>906</v>
      </c>
      <c r="D99" s="4">
        <v>25.54</v>
      </c>
      <c r="E99" s="4">
        <v>0.88800000000000001</v>
      </c>
      <c r="F99" s="4">
        <v>0.29399999999999998</v>
      </c>
      <c r="G99" s="4">
        <v>0.68</v>
      </c>
      <c r="H99" s="4">
        <v>0.64400000000000002</v>
      </c>
      <c r="I99" t="s">
        <v>907</v>
      </c>
      <c r="J99" t="s">
        <v>48</v>
      </c>
      <c r="K99" t="s">
        <v>996</v>
      </c>
      <c r="L99" t="s">
        <v>488</v>
      </c>
    </row>
    <row r="100" spans="1:12" x14ac:dyDescent="0.3">
      <c r="A100" t="s">
        <v>164</v>
      </c>
      <c r="B100" t="s">
        <v>171</v>
      </c>
      <c r="C100" t="s">
        <v>906</v>
      </c>
      <c r="D100" s="4">
        <v>36.9</v>
      </c>
      <c r="E100" s="4">
        <v>0.872</v>
      </c>
      <c r="F100" s="4">
        <v>0.186</v>
      </c>
      <c r="G100" s="4">
        <v>0.65700000000000003</v>
      </c>
      <c r="H100" s="4">
        <v>0.59599999999999997</v>
      </c>
      <c r="I100" t="s">
        <v>907</v>
      </c>
      <c r="J100" t="s">
        <v>48</v>
      </c>
      <c r="K100" t="s">
        <v>997</v>
      </c>
      <c r="L100" t="s">
        <v>488</v>
      </c>
    </row>
    <row r="101" spans="1:12" x14ac:dyDescent="0.3">
      <c r="A101" t="s">
        <v>166</v>
      </c>
      <c r="B101" t="s">
        <v>256</v>
      </c>
      <c r="C101" t="s">
        <v>896</v>
      </c>
      <c r="D101" s="4">
        <v>15.89</v>
      </c>
      <c r="E101" s="4">
        <v>0.82399999999999995</v>
      </c>
      <c r="F101" s="4">
        <v>0.78400000000000003</v>
      </c>
      <c r="G101" s="4">
        <v>0.77700000000000002</v>
      </c>
      <c r="H101" s="4">
        <v>0.79900000000000004</v>
      </c>
      <c r="I101" t="s">
        <v>891</v>
      </c>
      <c r="J101" t="s">
        <v>48</v>
      </c>
      <c r="K101" t="s">
        <v>998</v>
      </c>
      <c r="L101" t="s">
        <v>488</v>
      </c>
    </row>
    <row r="102" spans="1:12" x14ac:dyDescent="0.3">
      <c r="A102" t="s">
        <v>166</v>
      </c>
      <c r="B102" t="s">
        <v>131</v>
      </c>
      <c r="C102" t="s">
        <v>912</v>
      </c>
      <c r="D102" s="4">
        <v>36.24</v>
      </c>
      <c r="E102" s="4">
        <v>0.85399999999999998</v>
      </c>
      <c r="F102" s="4">
        <v>0.27900000000000003</v>
      </c>
      <c r="G102" s="4">
        <v>0.59299999999999997</v>
      </c>
      <c r="H102" s="4">
        <v>0.60199999999999998</v>
      </c>
      <c r="I102" t="s">
        <v>907</v>
      </c>
      <c r="J102" t="s">
        <v>48</v>
      </c>
      <c r="K102" t="s">
        <v>999</v>
      </c>
      <c r="L102" t="s">
        <v>488</v>
      </c>
    </row>
    <row r="103" spans="1:12" x14ac:dyDescent="0.3">
      <c r="A103" t="s">
        <v>175</v>
      </c>
      <c r="B103" t="s">
        <v>169</v>
      </c>
      <c r="C103" t="s">
        <v>906</v>
      </c>
      <c r="D103" s="4">
        <v>54.56</v>
      </c>
      <c r="E103" s="4">
        <v>0.81899999999999995</v>
      </c>
      <c r="F103" s="4">
        <v>7.8E-2</v>
      </c>
      <c r="G103" s="4">
        <v>0.44500000000000001</v>
      </c>
      <c r="H103" s="4">
        <v>0.48499999999999999</v>
      </c>
      <c r="I103" t="s">
        <v>907</v>
      </c>
      <c r="J103" t="s">
        <v>48</v>
      </c>
      <c r="K103" t="s">
        <v>1000</v>
      </c>
      <c r="L103" t="s">
        <v>488</v>
      </c>
    </row>
    <row r="104" spans="1:12" x14ac:dyDescent="0.3">
      <c r="A104" t="s">
        <v>177</v>
      </c>
      <c r="B104" t="s">
        <v>194</v>
      </c>
      <c r="C104" t="s">
        <v>890</v>
      </c>
      <c r="D104" s="4">
        <v>0.63</v>
      </c>
      <c r="E104" s="4">
        <v>0.88700000000000001</v>
      </c>
      <c r="F104" s="4">
        <v>0.92500000000000004</v>
      </c>
      <c r="G104" s="4">
        <v>0.625</v>
      </c>
      <c r="H104" s="4">
        <v>0.83099999999999996</v>
      </c>
      <c r="I104" t="s">
        <v>891</v>
      </c>
      <c r="J104" t="s">
        <v>48</v>
      </c>
      <c r="K104" t="s">
        <v>1001</v>
      </c>
      <c r="L104" t="s">
        <v>488</v>
      </c>
    </row>
    <row r="105" spans="1:12" x14ac:dyDescent="0.3">
      <c r="A105" t="s">
        <v>177</v>
      </c>
      <c r="B105" t="s">
        <v>182</v>
      </c>
      <c r="C105" t="s">
        <v>890</v>
      </c>
      <c r="D105" s="4">
        <v>3.17</v>
      </c>
      <c r="E105" s="4">
        <v>0.79900000000000004</v>
      </c>
      <c r="F105" s="4">
        <v>0.88500000000000001</v>
      </c>
      <c r="G105" s="4">
        <v>0.48199999999999998</v>
      </c>
      <c r="H105" s="4">
        <v>0.74399999999999999</v>
      </c>
      <c r="I105" t="s">
        <v>891</v>
      </c>
      <c r="J105" t="s">
        <v>48</v>
      </c>
      <c r="K105" t="s">
        <v>1002</v>
      </c>
      <c r="L105" t="s">
        <v>488</v>
      </c>
    </row>
    <row r="106" spans="1:12" x14ac:dyDescent="0.3">
      <c r="A106" t="s">
        <v>179</v>
      </c>
      <c r="B106" t="s">
        <v>81</v>
      </c>
      <c r="C106" t="s">
        <v>906</v>
      </c>
      <c r="D106" s="4">
        <v>52.62</v>
      </c>
      <c r="E106" s="4">
        <v>0.84399999999999997</v>
      </c>
      <c r="F106" s="4">
        <v>0.192</v>
      </c>
      <c r="G106" s="4">
        <v>0.46800000000000003</v>
      </c>
      <c r="H106" s="4">
        <v>0.53800000000000003</v>
      </c>
      <c r="I106" t="s">
        <v>907</v>
      </c>
      <c r="J106" t="s">
        <v>48</v>
      </c>
      <c r="K106" t="s">
        <v>1003</v>
      </c>
      <c r="L106" t="s">
        <v>488</v>
      </c>
    </row>
    <row r="107" spans="1:12" x14ac:dyDescent="0.3">
      <c r="A107" t="s">
        <v>179</v>
      </c>
      <c r="B107" t="s">
        <v>169</v>
      </c>
      <c r="C107" t="s">
        <v>906</v>
      </c>
      <c r="D107" s="4">
        <v>55.25</v>
      </c>
      <c r="E107" s="4">
        <v>0.96599999999999997</v>
      </c>
      <c r="F107" s="4">
        <v>0.109</v>
      </c>
      <c r="G107" s="4">
        <v>0.55900000000000005</v>
      </c>
      <c r="H107" s="4">
        <v>0.58599999999999997</v>
      </c>
      <c r="I107" t="s">
        <v>907</v>
      </c>
      <c r="J107" t="s">
        <v>48</v>
      </c>
      <c r="K107" t="s">
        <v>1004</v>
      </c>
      <c r="L107" t="s">
        <v>488</v>
      </c>
    </row>
    <row r="108" spans="1:12" x14ac:dyDescent="0.3">
      <c r="A108" t="s">
        <v>179</v>
      </c>
      <c r="B108" t="s">
        <v>154</v>
      </c>
      <c r="C108" t="s">
        <v>906</v>
      </c>
      <c r="D108" s="4">
        <v>57.37</v>
      </c>
      <c r="E108" s="4">
        <v>0.88800000000000001</v>
      </c>
      <c r="F108" s="4">
        <v>9.0999999999999998E-2</v>
      </c>
      <c r="G108" s="4">
        <v>0.44600000000000001</v>
      </c>
      <c r="H108" s="4">
        <v>0.51800000000000002</v>
      </c>
      <c r="I108" t="s">
        <v>907</v>
      </c>
      <c r="J108" t="s">
        <v>48</v>
      </c>
      <c r="K108" t="s">
        <v>1005</v>
      </c>
      <c r="L108" t="s">
        <v>488</v>
      </c>
    </row>
    <row r="109" spans="1:12" x14ac:dyDescent="0.3">
      <c r="A109" t="s">
        <v>182</v>
      </c>
      <c r="B109" t="s">
        <v>194</v>
      </c>
      <c r="C109" t="s">
        <v>890</v>
      </c>
      <c r="D109" s="4">
        <v>2.54</v>
      </c>
      <c r="E109" s="4">
        <v>0.75900000000000001</v>
      </c>
      <c r="F109" s="4">
        <v>0.90500000000000003</v>
      </c>
      <c r="G109" s="4">
        <v>0.57599999999999996</v>
      </c>
      <c r="H109" s="4">
        <v>0.75800000000000001</v>
      </c>
      <c r="I109" t="s">
        <v>891</v>
      </c>
      <c r="J109" t="s">
        <v>48</v>
      </c>
      <c r="K109" t="s">
        <v>1006</v>
      </c>
      <c r="L109" t="s">
        <v>488</v>
      </c>
    </row>
    <row r="110" spans="1:12" x14ac:dyDescent="0.3">
      <c r="A110" t="s">
        <v>182</v>
      </c>
      <c r="B110" t="s">
        <v>230</v>
      </c>
      <c r="C110" t="s">
        <v>912</v>
      </c>
      <c r="D110" s="4">
        <v>17.14</v>
      </c>
      <c r="E110" s="4">
        <v>0.65800000000000003</v>
      </c>
      <c r="F110" s="4">
        <v>0.35</v>
      </c>
      <c r="G110" s="4">
        <v>0.52900000000000003</v>
      </c>
      <c r="H110" s="4">
        <v>0.52600000000000002</v>
      </c>
      <c r="I110" t="s">
        <v>907</v>
      </c>
      <c r="J110" t="s">
        <v>892</v>
      </c>
      <c r="K110" t="s">
        <v>1007</v>
      </c>
      <c r="L110" t="s">
        <v>488</v>
      </c>
    </row>
    <row r="111" spans="1:12" x14ac:dyDescent="0.3">
      <c r="A111" t="s">
        <v>182</v>
      </c>
      <c r="B111" t="s">
        <v>244</v>
      </c>
      <c r="C111" t="s">
        <v>906</v>
      </c>
      <c r="D111" s="4">
        <v>24.43</v>
      </c>
      <c r="E111" s="4">
        <v>0.81899999999999995</v>
      </c>
      <c r="F111" s="4">
        <v>0.26300000000000001</v>
      </c>
      <c r="G111" s="4">
        <v>0.51</v>
      </c>
      <c r="H111" s="4">
        <v>0.56100000000000005</v>
      </c>
      <c r="I111" t="s">
        <v>907</v>
      </c>
      <c r="J111" t="s">
        <v>48</v>
      </c>
      <c r="K111" t="s">
        <v>1008</v>
      </c>
      <c r="L111" t="s">
        <v>488</v>
      </c>
    </row>
    <row r="112" spans="1:12" x14ac:dyDescent="0.3">
      <c r="A112" t="s">
        <v>186</v>
      </c>
      <c r="B112" t="s">
        <v>220</v>
      </c>
      <c r="C112" t="s">
        <v>896</v>
      </c>
      <c r="D112" s="4">
        <v>32.54</v>
      </c>
      <c r="E112" s="4">
        <v>0.627</v>
      </c>
      <c r="F112" s="4">
        <v>0.70599999999999996</v>
      </c>
      <c r="G112" s="4">
        <v>0.54100000000000004</v>
      </c>
      <c r="H112" s="4">
        <v>0.63</v>
      </c>
      <c r="I112" t="s">
        <v>891</v>
      </c>
      <c r="J112" t="s">
        <v>892</v>
      </c>
      <c r="K112" t="s">
        <v>1009</v>
      </c>
      <c r="L112" t="s">
        <v>488</v>
      </c>
    </row>
    <row r="113" spans="1:12" x14ac:dyDescent="0.3">
      <c r="A113" t="s">
        <v>186</v>
      </c>
      <c r="B113" t="s">
        <v>232</v>
      </c>
      <c r="C113" t="s">
        <v>906</v>
      </c>
      <c r="D113" s="4">
        <v>21.23</v>
      </c>
      <c r="E113" s="4">
        <v>0.69199999999999995</v>
      </c>
      <c r="F113" s="4">
        <v>0.32600000000000001</v>
      </c>
      <c r="G113" s="4">
        <v>0.51700000000000002</v>
      </c>
      <c r="H113" s="4">
        <v>0.52900000000000003</v>
      </c>
      <c r="I113" t="s">
        <v>907</v>
      </c>
      <c r="J113" t="s">
        <v>892</v>
      </c>
      <c r="K113" t="s">
        <v>1010</v>
      </c>
      <c r="L113" t="s">
        <v>488</v>
      </c>
    </row>
    <row r="114" spans="1:12" x14ac:dyDescent="0.3">
      <c r="A114" t="s">
        <v>186</v>
      </c>
      <c r="B114" t="s">
        <v>254</v>
      </c>
      <c r="C114" t="s">
        <v>896</v>
      </c>
      <c r="D114" s="4">
        <v>41.37</v>
      </c>
      <c r="E114" s="4">
        <v>0.70399999999999996</v>
      </c>
      <c r="F114" s="4">
        <v>0.64800000000000002</v>
      </c>
      <c r="G114" s="4">
        <v>0.51200000000000001</v>
      </c>
      <c r="H114" s="4">
        <v>0.63600000000000001</v>
      </c>
      <c r="I114" t="s">
        <v>891</v>
      </c>
      <c r="J114" t="s">
        <v>892</v>
      </c>
      <c r="K114" t="s">
        <v>1011</v>
      </c>
      <c r="L114" t="s">
        <v>488</v>
      </c>
    </row>
    <row r="115" spans="1:12" x14ac:dyDescent="0.3">
      <c r="A115" t="s">
        <v>186</v>
      </c>
      <c r="B115" t="s">
        <v>209</v>
      </c>
      <c r="C115" t="s">
        <v>906</v>
      </c>
      <c r="D115" s="4">
        <v>29.46</v>
      </c>
      <c r="E115" s="4">
        <v>0.68600000000000005</v>
      </c>
      <c r="F115" s="4">
        <v>0.28899999999999998</v>
      </c>
      <c r="G115" s="4">
        <v>0.622</v>
      </c>
      <c r="H115" s="4">
        <v>0.54300000000000004</v>
      </c>
      <c r="I115" t="s">
        <v>907</v>
      </c>
      <c r="J115" t="s">
        <v>892</v>
      </c>
      <c r="K115" t="s">
        <v>1012</v>
      </c>
      <c r="L115" t="s">
        <v>488</v>
      </c>
    </row>
    <row r="116" spans="1:12" x14ac:dyDescent="0.3">
      <c r="A116" t="s">
        <v>189</v>
      </c>
      <c r="B116" t="s">
        <v>240</v>
      </c>
      <c r="C116" t="s">
        <v>906</v>
      </c>
      <c r="D116" s="4">
        <v>6.5</v>
      </c>
      <c r="E116" s="4">
        <v>0.78900000000000003</v>
      </c>
      <c r="F116" s="4">
        <v>0.36599999999999999</v>
      </c>
      <c r="G116" s="4">
        <v>0.69399999999999995</v>
      </c>
      <c r="H116" s="4">
        <v>0.629</v>
      </c>
      <c r="I116" t="s">
        <v>907</v>
      </c>
      <c r="J116" t="s">
        <v>48</v>
      </c>
      <c r="K116" t="s">
        <v>1013</v>
      </c>
      <c r="L116" t="s">
        <v>488</v>
      </c>
    </row>
    <row r="117" spans="1:12" x14ac:dyDescent="0.3">
      <c r="A117" t="s">
        <v>189</v>
      </c>
      <c r="B117" t="s">
        <v>197</v>
      </c>
      <c r="C117" t="s">
        <v>912</v>
      </c>
      <c r="D117" s="4">
        <v>9.48</v>
      </c>
      <c r="E117" s="4">
        <v>0.88900000000000001</v>
      </c>
      <c r="F117" s="4">
        <v>0.38</v>
      </c>
      <c r="G117" s="4">
        <v>0.70799999999999996</v>
      </c>
      <c r="H117" s="4">
        <v>0.67900000000000005</v>
      </c>
      <c r="I117" t="s">
        <v>907</v>
      </c>
      <c r="J117" t="s">
        <v>48</v>
      </c>
      <c r="K117" t="s">
        <v>1014</v>
      </c>
      <c r="L117" t="s">
        <v>488</v>
      </c>
    </row>
    <row r="118" spans="1:12" x14ac:dyDescent="0.3">
      <c r="A118" t="s">
        <v>189</v>
      </c>
      <c r="B118" t="s">
        <v>201</v>
      </c>
      <c r="C118" t="s">
        <v>906</v>
      </c>
      <c r="D118" s="4">
        <v>26.78</v>
      </c>
      <c r="E118" s="4">
        <v>0.875</v>
      </c>
      <c r="F118" s="4">
        <v>0.313</v>
      </c>
      <c r="G118" s="4">
        <v>0.52500000000000002</v>
      </c>
      <c r="H118" s="4">
        <v>0.60399999999999998</v>
      </c>
      <c r="I118" t="s">
        <v>907</v>
      </c>
      <c r="J118" t="s">
        <v>48</v>
      </c>
      <c r="K118" t="s">
        <v>1015</v>
      </c>
      <c r="L118" t="s">
        <v>488</v>
      </c>
    </row>
    <row r="119" spans="1:12" x14ac:dyDescent="0.3">
      <c r="A119" t="s">
        <v>189</v>
      </c>
      <c r="B119" t="s">
        <v>250</v>
      </c>
      <c r="C119" t="s">
        <v>896</v>
      </c>
      <c r="D119" s="4">
        <v>48.32</v>
      </c>
      <c r="E119" s="4">
        <v>0.80300000000000005</v>
      </c>
      <c r="F119" s="4">
        <v>0.63900000000000001</v>
      </c>
      <c r="G119" s="4">
        <v>0.40600000000000003</v>
      </c>
      <c r="H119" s="4">
        <v>0.64700000000000002</v>
      </c>
      <c r="I119" t="s">
        <v>891</v>
      </c>
      <c r="J119" t="s">
        <v>48</v>
      </c>
      <c r="K119" t="s">
        <v>1016</v>
      </c>
      <c r="L119" t="s">
        <v>488</v>
      </c>
    </row>
    <row r="120" spans="1:12" x14ac:dyDescent="0.3">
      <c r="A120" t="s">
        <v>192</v>
      </c>
      <c r="B120" t="s">
        <v>204</v>
      </c>
      <c r="C120" t="s">
        <v>906</v>
      </c>
      <c r="D120" s="4">
        <v>15.69</v>
      </c>
      <c r="E120" s="4">
        <v>0.60799999999999998</v>
      </c>
      <c r="F120" s="4">
        <v>0.32800000000000001</v>
      </c>
      <c r="G120" s="4">
        <v>0.64500000000000002</v>
      </c>
      <c r="H120" s="4">
        <v>0.52800000000000002</v>
      </c>
      <c r="I120" t="s">
        <v>907</v>
      </c>
      <c r="J120" t="s">
        <v>892</v>
      </c>
      <c r="K120" t="s">
        <v>1017</v>
      </c>
      <c r="L120" t="s">
        <v>488</v>
      </c>
    </row>
    <row r="121" spans="1:12" x14ac:dyDescent="0.3">
      <c r="A121" t="s">
        <v>192</v>
      </c>
      <c r="B121" t="s">
        <v>242</v>
      </c>
      <c r="C121" t="s">
        <v>912</v>
      </c>
      <c r="D121" s="4">
        <v>22.96</v>
      </c>
      <c r="E121" s="4">
        <v>0.67300000000000004</v>
      </c>
      <c r="F121" s="4">
        <v>0.29899999999999999</v>
      </c>
      <c r="G121" s="4">
        <v>0.51200000000000001</v>
      </c>
      <c r="H121" s="4">
        <v>0.51100000000000001</v>
      </c>
      <c r="I121" t="s">
        <v>907</v>
      </c>
      <c r="J121" t="s">
        <v>892</v>
      </c>
      <c r="K121" t="s">
        <v>1018</v>
      </c>
      <c r="L121" t="s">
        <v>488</v>
      </c>
    </row>
    <row r="122" spans="1:12" x14ac:dyDescent="0.3">
      <c r="A122" t="s">
        <v>192</v>
      </c>
      <c r="B122" t="s">
        <v>211</v>
      </c>
      <c r="C122" t="s">
        <v>896</v>
      </c>
      <c r="D122" s="4">
        <v>39.49</v>
      </c>
      <c r="E122" s="4">
        <v>0.74099999999999999</v>
      </c>
      <c r="F122" s="4">
        <v>0.69299999999999995</v>
      </c>
      <c r="G122" s="4">
        <v>0.34799999999999998</v>
      </c>
      <c r="H122" s="4">
        <v>0.623</v>
      </c>
      <c r="I122" t="s">
        <v>891</v>
      </c>
      <c r="J122" t="s">
        <v>892</v>
      </c>
      <c r="K122" t="s">
        <v>1019</v>
      </c>
      <c r="L122" t="s">
        <v>488</v>
      </c>
    </row>
    <row r="123" spans="1:12" x14ac:dyDescent="0.3">
      <c r="A123" t="s">
        <v>192</v>
      </c>
      <c r="B123" t="s">
        <v>248</v>
      </c>
      <c r="C123" t="s">
        <v>896</v>
      </c>
      <c r="D123" s="4">
        <v>41.99</v>
      </c>
      <c r="E123" s="4">
        <v>0.56999999999999995</v>
      </c>
      <c r="F123" s="4">
        <v>0.60299999999999998</v>
      </c>
      <c r="G123" s="4">
        <v>0.61499999999999999</v>
      </c>
      <c r="H123" s="4">
        <v>0.59199999999999997</v>
      </c>
      <c r="I123" t="s">
        <v>891</v>
      </c>
      <c r="J123" t="s">
        <v>892</v>
      </c>
      <c r="K123" t="s">
        <v>1020</v>
      </c>
      <c r="L123" t="s">
        <v>488</v>
      </c>
    </row>
    <row r="124" spans="1:12" x14ac:dyDescent="0.3">
      <c r="A124" t="s">
        <v>194</v>
      </c>
      <c r="B124" t="s">
        <v>230</v>
      </c>
      <c r="C124" t="s">
        <v>906</v>
      </c>
      <c r="D124" s="4">
        <v>15.18</v>
      </c>
      <c r="E124" s="4">
        <v>0.80900000000000005</v>
      </c>
      <c r="F124" s="4">
        <v>0.34499999999999997</v>
      </c>
      <c r="G124" s="4">
        <v>0.61899999999999999</v>
      </c>
      <c r="H124" s="4">
        <v>0.61099999999999999</v>
      </c>
      <c r="I124" t="s">
        <v>907</v>
      </c>
      <c r="J124" t="s">
        <v>892</v>
      </c>
      <c r="K124" t="s">
        <v>1021</v>
      </c>
      <c r="L124" t="s">
        <v>488</v>
      </c>
    </row>
    <row r="125" spans="1:12" x14ac:dyDescent="0.3">
      <c r="A125" t="s">
        <v>194</v>
      </c>
      <c r="B125" t="s">
        <v>244</v>
      </c>
      <c r="C125" t="s">
        <v>912</v>
      </c>
      <c r="D125" s="4">
        <v>22.02</v>
      </c>
      <c r="E125" s="4">
        <v>0.86</v>
      </c>
      <c r="F125" s="4">
        <v>0.34100000000000003</v>
      </c>
      <c r="G125" s="4">
        <v>0.47299999999999998</v>
      </c>
      <c r="H125" s="4">
        <v>0.59299999999999997</v>
      </c>
      <c r="I125" t="s">
        <v>907</v>
      </c>
      <c r="J125" t="s">
        <v>48</v>
      </c>
      <c r="K125" t="s">
        <v>1022</v>
      </c>
      <c r="L125" t="s">
        <v>488</v>
      </c>
    </row>
    <row r="126" spans="1:12" x14ac:dyDescent="0.3">
      <c r="A126" t="s">
        <v>197</v>
      </c>
      <c r="B126" t="s">
        <v>240</v>
      </c>
      <c r="C126" t="s">
        <v>890</v>
      </c>
      <c r="D126" s="4">
        <v>10.83</v>
      </c>
      <c r="E126" s="4">
        <v>0.76200000000000001</v>
      </c>
      <c r="F126" s="4">
        <v>0.90900000000000003</v>
      </c>
      <c r="G126" s="4">
        <v>0.52700000000000002</v>
      </c>
      <c r="H126" s="4">
        <v>0.748</v>
      </c>
      <c r="I126" t="s">
        <v>891</v>
      </c>
      <c r="J126" t="s">
        <v>48</v>
      </c>
      <c r="K126" t="s">
        <v>1023</v>
      </c>
      <c r="L126" t="s">
        <v>488</v>
      </c>
    </row>
    <row r="127" spans="1:12" x14ac:dyDescent="0.3">
      <c r="A127" t="s">
        <v>197</v>
      </c>
      <c r="B127" t="s">
        <v>201</v>
      </c>
      <c r="C127" t="s">
        <v>896</v>
      </c>
      <c r="D127" s="4">
        <v>32.29</v>
      </c>
      <c r="E127" s="4">
        <v>0.92200000000000004</v>
      </c>
      <c r="F127" s="4">
        <v>0.67200000000000004</v>
      </c>
      <c r="G127" s="4">
        <v>0.41399999999999998</v>
      </c>
      <c r="H127" s="4">
        <v>0.71</v>
      </c>
      <c r="I127" t="s">
        <v>891</v>
      </c>
      <c r="J127" t="s">
        <v>48</v>
      </c>
      <c r="K127" t="s">
        <v>1024</v>
      </c>
      <c r="L127" t="s">
        <v>488</v>
      </c>
    </row>
    <row r="128" spans="1:12" x14ac:dyDescent="0.3">
      <c r="A128" t="s">
        <v>197</v>
      </c>
      <c r="B128" t="s">
        <v>222</v>
      </c>
      <c r="C128" t="s">
        <v>906</v>
      </c>
      <c r="D128" s="4">
        <v>27.66</v>
      </c>
      <c r="E128" s="4">
        <v>0.86299999999999999</v>
      </c>
      <c r="F128" s="4">
        <v>0.28699999999999998</v>
      </c>
      <c r="G128" s="4">
        <v>0.68300000000000005</v>
      </c>
      <c r="H128" s="4">
        <v>0.63200000000000001</v>
      </c>
      <c r="I128" t="s">
        <v>907</v>
      </c>
      <c r="J128" t="s">
        <v>898</v>
      </c>
      <c r="K128" t="s">
        <v>1025</v>
      </c>
      <c r="L128" t="s">
        <v>488</v>
      </c>
    </row>
    <row r="129" spans="1:12" x14ac:dyDescent="0.3">
      <c r="A129" t="s">
        <v>199</v>
      </c>
      <c r="B129" t="s">
        <v>258</v>
      </c>
      <c r="C129" t="s">
        <v>906</v>
      </c>
      <c r="D129" s="4">
        <v>15.82</v>
      </c>
      <c r="E129" s="4">
        <v>0.72699999999999998</v>
      </c>
      <c r="F129" s="4">
        <v>0.36099999999999999</v>
      </c>
      <c r="G129" s="4">
        <v>0.70899999999999996</v>
      </c>
      <c r="H129" s="4">
        <v>0.60499999999999998</v>
      </c>
      <c r="I129" t="s">
        <v>907</v>
      </c>
      <c r="J129" t="s">
        <v>892</v>
      </c>
      <c r="K129" t="s">
        <v>1026</v>
      </c>
      <c r="L129" t="s">
        <v>488</v>
      </c>
    </row>
    <row r="130" spans="1:12" x14ac:dyDescent="0.3">
      <c r="A130" t="s">
        <v>199</v>
      </c>
      <c r="B130" t="s">
        <v>234</v>
      </c>
      <c r="C130" t="s">
        <v>896</v>
      </c>
      <c r="D130" s="4">
        <v>32.229999999999997</v>
      </c>
      <c r="E130" s="4">
        <v>0.80300000000000005</v>
      </c>
      <c r="F130" s="4">
        <v>0.66600000000000004</v>
      </c>
      <c r="G130" s="4">
        <v>0.57499999999999996</v>
      </c>
      <c r="H130" s="4">
        <v>0.7</v>
      </c>
      <c r="I130" t="s">
        <v>891</v>
      </c>
      <c r="J130" t="s">
        <v>892</v>
      </c>
      <c r="K130" t="s">
        <v>1027</v>
      </c>
      <c r="L130" t="s">
        <v>488</v>
      </c>
    </row>
    <row r="131" spans="1:12" x14ac:dyDescent="0.3">
      <c r="A131" t="s">
        <v>199</v>
      </c>
      <c r="B131" t="s">
        <v>238</v>
      </c>
      <c r="C131" t="s">
        <v>896</v>
      </c>
      <c r="D131" s="4">
        <v>40.270000000000003</v>
      </c>
      <c r="E131" s="4">
        <v>0.78100000000000003</v>
      </c>
      <c r="F131" s="4">
        <v>0.67200000000000004</v>
      </c>
      <c r="G131" s="4">
        <v>0.63300000000000001</v>
      </c>
      <c r="H131" s="4">
        <v>0.70799999999999996</v>
      </c>
      <c r="I131" t="s">
        <v>891</v>
      </c>
      <c r="J131" t="s">
        <v>892</v>
      </c>
      <c r="K131" t="s">
        <v>1028</v>
      </c>
      <c r="L131" t="s">
        <v>488</v>
      </c>
    </row>
    <row r="132" spans="1:12" x14ac:dyDescent="0.3">
      <c r="A132" t="s">
        <v>199</v>
      </c>
      <c r="B132" t="s">
        <v>213</v>
      </c>
      <c r="C132" t="s">
        <v>896</v>
      </c>
      <c r="D132" s="4">
        <v>41.54</v>
      </c>
      <c r="E132" s="4">
        <v>0.68799999999999994</v>
      </c>
      <c r="F132" s="4">
        <v>0.7</v>
      </c>
      <c r="G132" s="4">
        <v>0.61199999999999999</v>
      </c>
      <c r="H132" s="4">
        <v>0.67200000000000004</v>
      </c>
      <c r="I132" t="s">
        <v>891</v>
      </c>
      <c r="J132" t="s">
        <v>892</v>
      </c>
      <c r="K132" t="s">
        <v>1029</v>
      </c>
      <c r="L132" t="s">
        <v>488</v>
      </c>
    </row>
    <row r="133" spans="1:12" x14ac:dyDescent="0.3">
      <c r="A133" t="s">
        <v>201</v>
      </c>
      <c r="B133" t="s">
        <v>240</v>
      </c>
      <c r="C133" t="s">
        <v>896</v>
      </c>
      <c r="D133" s="4">
        <v>32.93</v>
      </c>
      <c r="E133" s="4">
        <v>0.70599999999999996</v>
      </c>
      <c r="F133" s="4">
        <v>0.749</v>
      </c>
      <c r="G133" s="4">
        <v>0.379</v>
      </c>
      <c r="H133" s="4">
        <v>0.63500000000000001</v>
      </c>
      <c r="I133" t="s">
        <v>891</v>
      </c>
      <c r="J133" t="s">
        <v>48</v>
      </c>
      <c r="K133" t="s">
        <v>1030</v>
      </c>
      <c r="L133" t="s">
        <v>488</v>
      </c>
    </row>
    <row r="134" spans="1:12" x14ac:dyDescent="0.3">
      <c r="A134" t="s">
        <v>201</v>
      </c>
      <c r="B134" t="s">
        <v>226</v>
      </c>
      <c r="C134" t="s">
        <v>906</v>
      </c>
      <c r="D134" s="4">
        <v>22.52</v>
      </c>
      <c r="E134" s="4">
        <v>0.84199999999999997</v>
      </c>
      <c r="F134" s="4">
        <v>0.26600000000000001</v>
      </c>
      <c r="G134" s="4">
        <v>0.65300000000000002</v>
      </c>
      <c r="H134" s="4">
        <v>0.60799999999999998</v>
      </c>
      <c r="I134" t="s">
        <v>907</v>
      </c>
      <c r="J134" t="s">
        <v>48</v>
      </c>
      <c r="K134" t="s">
        <v>1031</v>
      </c>
      <c r="L134" t="s">
        <v>488</v>
      </c>
    </row>
    <row r="135" spans="1:12" x14ac:dyDescent="0.3">
      <c r="A135" t="s">
        <v>201</v>
      </c>
      <c r="B135" t="s">
        <v>250</v>
      </c>
      <c r="C135" t="s">
        <v>906</v>
      </c>
      <c r="D135" s="4">
        <v>25.34</v>
      </c>
      <c r="E135" s="4">
        <v>0.879</v>
      </c>
      <c r="F135" s="4">
        <v>0.33300000000000002</v>
      </c>
      <c r="G135" s="4">
        <v>0.38700000000000001</v>
      </c>
      <c r="H135" s="4">
        <v>0.57599999999999996</v>
      </c>
      <c r="I135" t="s">
        <v>907</v>
      </c>
      <c r="J135" t="s">
        <v>48</v>
      </c>
      <c r="K135" t="s">
        <v>1032</v>
      </c>
      <c r="L135" t="s">
        <v>488</v>
      </c>
    </row>
    <row r="136" spans="1:12" x14ac:dyDescent="0.3">
      <c r="A136" t="s">
        <v>204</v>
      </c>
      <c r="B136" t="s">
        <v>206</v>
      </c>
      <c r="C136" t="s">
        <v>912</v>
      </c>
      <c r="D136" s="4">
        <v>29.02</v>
      </c>
      <c r="E136" s="4">
        <v>0.68300000000000005</v>
      </c>
      <c r="F136" s="4">
        <v>0.29299999999999998</v>
      </c>
      <c r="G136" s="4">
        <v>0.45700000000000002</v>
      </c>
      <c r="H136" s="4">
        <v>0.499</v>
      </c>
      <c r="I136" t="s">
        <v>907</v>
      </c>
      <c r="J136" t="s">
        <v>892</v>
      </c>
      <c r="K136" t="s">
        <v>1033</v>
      </c>
      <c r="L136" t="s">
        <v>488</v>
      </c>
    </row>
    <row r="137" spans="1:12" x14ac:dyDescent="0.3">
      <c r="A137" t="s">
        <v>204</v>
      </c>
      <c r="B137" t="s">
        <v>218</v>
      </c>
      <c r="C137" t="s">
        <v>912</v>
      </c>
      <c r="D137" s="4">
        <v>33.590000000000003</v>
      </c>
      <c r="E137" s="4">
        <v>0.81100000000000005</v>
      </c>
      <c r="F137" s="4">
        <v>0.23</v>
      </c>
      <c r="G137" s="4">
        <v>0.627</v>
      </c>
      <c r="H137" s="4">
        <v>0.57699999999999996</v>
      </c>
      <c r="I137" t="s">
        <v>907</v>
      </c>
      <c r="J137" t="s">
        <v>48</v>
      </c>
      <c r="K137" t="s">
        <v>1034</v>
      </c>
      <c r="L137" t="s">
        <v>488</v>
      </c>
    </row>
    <row r="138" spans="1:12" x14ac:dyDescent="0.3">
      <c r="A138" t="s">
        <v>204</v>
      </c>
      <c r="B138" t="s">
        <v>186</v>
      </c>
      <c r="C138" t="s">
        <v>906</v>
      </c>
      <c r="D138" s="4">
        <v>36.299999999999997</v>
      </c>
      <c r="E138" s="4">
        <v>0.70899999999999996</v>
      </c>
      <c r="F138" s="4">
        <v>0.224</v>
      </c>
      <c r="G138" s="4">
        <v>0.40600000000000003</v>
      </c>
      <c r="H138" s="4">
        <v>0.47499999999999998</v>
      </c>
      <c r="I138" t="s">
        <v>907</v>
      </c>
      <c r="J138" t="s">
        <v>892</v>
      </c>
      <c r="K138" t="s">
        <v>1035</v>
      </c>
      <c r="L138" t="s">
        <v>488</v>
      </c>
    </row>
    <row r="139" spans="1:12" x14ac:dyDescent="0.3">
      <c r="A139" t="s">
        <v>206</v>
      </c>
      <c r="B139" t="s">
        <v>218</v>
      </c>
      <c r="C139" t="s">
        <v>890</v>
      </c>
      <c r="D139" s="4">
        <v>6.14</v>
      </c>
      <c r="E139" s="4">
        <v>0.72399999999999998</v>
      </c>
      <c r="F139" s="4">
        <v>0.874</v>
      </c>
      <c r="G139" s="4">
        <v>0.79200000000000004</v>
      </c>
      <c r="H139" s="4">
        <v>0.78900000000000003</v>
      </c>
      <c r="I139" t="s">
        <v>891</v>
      </c>
      <c r="J139" t="s">
        <v>892</v>
      </c>
      <c r="K139" t="s">
        <v>1036</v>
      </c>
      <c r="L139" t="s">
        <v>488</v>
      </c>
    </row>
    <row r="140" spans="1:12" x14ac:dyDescent="0.3">
      <c r="A140" t="s">
        <v>206</v>
      </c>
      <c r="B140" t="s">
        <v>228</v>
      </c>
      <c r="C140" t="s">
        <v>890</v>
      </c>
      <c r="D140" s="4">
        <v>12.12</v>
      </c>
      <c r="E140" s="4">
        <v>0.81100000000000005</v>
      </c>
      <c r="F140" s="4">
        <v>0.91100000000000003</v>
      </c>
      <c r="G140" s="4">
        <v>0.65700000000000003</v>
      </c>
      <c r="H140" s="4">
        <v>0.80300000000000005</v>
      </c>
      <c r="I140" t="s">
        <v>891</v>
      </c>
      <c r="J140" t="s">
        <v>506</v>
      </c>
      <c r="K140" t="s">
        <v>1037</v>
      </c>
      <c r="L140" t="s">
        <v>488</v>
      </c>
    </row>
    <row r="141" spans="1:12" x14ac:dyDescent="0.3">
      <c r="A141" t="s">
        <v>206</v>
      </c>
      <c r="B141" t="s">
        <v>216</v>
      </c>
      <c r="C141" t="s">
        <v>890</v>
      </c>
      <c r="D141" s="4">
        <v>13.71</v>
      </c>
      <c r="E141" s="4">
        <v>0.67</v>
      </c>
      <c r="F141" s="4">
        <v>0.82099999999999995</v>
      </c>
      <c r="G141" s="4">
        <v>0.71399999999999997</v>
      </c>
      <c r="H141" s="4">
        <v>0.73</v>
      </c>
      <c r="I141" t="s">
        <v>891</v>
      </c>
      <c r="J141" t="s">
        <v>892</v>
      </c>
      <c r="K141" t="s">
        <v>1038</v>
      </c>
      <c r="L141" t="s">
        <v>488</v>
      </c>
    </row>
    <row r="142" spans="1:12" x14ac:dyDescent="0.3">
      <c r="A142" t="s">
        <v>206</v>
      </c>
      <c r="B142" t="s">
        <v>238</v>
      </c>
      <c r="C142" t="s">
        <v>896</v>
      </c>
      <c r="D142" s="4">
        <v>24.5</v>
      </c>
      <c r="E142" s="4">
        <v>0.76100000000000001</v>
      </c>
      <c r="F142" s="4">
        <v>0.76800000000000002</v>
      </c>
      <c r="G142" s="4">
        <v>0.378</v>
      </c>
      <c r="H142" s="4">
        <v>0.66400000000000003</v>
      </c>
      <c r="I142" t="s">
        <v>891</v>
      </c>
      <c r="J142" t="s">
        <v>892</v>
      </c>
      <c r="K142" t="s">
        <v>1039</v>
      </c>
      <c r="L142" t="s">
        <v>488</v>
      </c>
    </row>
    <row r="143" spans="1:12" x14ac:dyDescent="0.3">
      <c r="A143" t="s">
        <v>209</v>
      </c>
      <c r="B143" t="s">
        <v>254</v>
      </c>
      <c r="C143" t="s">
        <v>912</v>
      </c>
      <c r="D143" s="4">
        <v>12</v>
      </c>
      <c r="E143" s="4">
        <v>0.81200000000000006</v>
      </c>
      <c r="F143" s="4">
        <v>0.35899999999999999</v>
      </c>
      <c r="G143" s="4">
        <v>0.61299999999999999</v>
      </c>
      <c r="H143" s="4">
        <v>0.61499999999999999</v>
      </c>
      <c r="I143" t="s">
        <v>907</v>
      </c>
      <c r="J143" t="s">
        <v>48</v>
      </c>
      <c r="K143" t="s">
        <v>1040</v>
      </c>
      <c r="L143" t="s">
        <v>488</v>
      </c>
    </row>
    <row r="144" spans="1:12" x14ac:dyDescent="0.3">
      <c r="A144" t="s">
        <v>209</v>
      </c>
      <c r="B144" t="s">
        <v>192</v>
      </c>
      <c r="C144" t="s">
        <v>896</v>
      </c>
      <c r="D144" s="4">
        <v>44.13</v>
      </c>
      <c r="E144" s="4">
        <v>0.58499999999999996</v>
      </c>
      <c r="F144" s="4">
        <v>0.65800000000000003</v>
      </c>
      <c r="G144" s="4">
        <v>0.59899999999999998</v>
      </c>
      <c r="H144" s="4">
        <v>0.61199999999999999</v>
      </c>
      <c r="I144" t="s">
        <v>891</v>
      </c>
      <c r="J144" t="s">
        <v>892</v>
      </c>
      <c r="K144" t="s">
        <v>1041</v>
      </c>
      <c r="L144" t="s">
        <v>488</v>
      </c>
    </row>
    <row r="145" spans="1:12" x14ac:dyDescent="0.3">
      <c r="A145" t="s">
        <v>211</v>
      </c>
      <c r="B145" t="s">
        <v>258</v>
      </c>
      <c r="C145" t="s">
        <v>896</v>
      </c>
      <c r="D145" s="4">
        <v>21.1</v>
      </c>
      <c r="E145" s="4">
        <v>0.86799999999999999</v>
      </c>
      <c r="F145" s="4">
        <v>0.77800000000000002</v>
      </c>
      <c r="G145" s="4">
        <v>0.42199999999999999</v>
      </c>
      <c r="H145" s="4">
        <v>0.72299999999999998</v>
      </c>
      <c r="I145" t="s">
        <v>891</v>
      </c>
      <c r="J145" t="s">
        <v>48</v>
      </c>
      <c r="K145" t="s">
        <v>1042</v>
      </c>
      <c r="L145" t="s">
        <v>488</v>
      </c>
    </row>
    <row r="146" spans="1:12" x14ac:dyDescent="0.3">
      <c r="A146" t="s">
        <v>211</v>
      </c>
      <c r="B146" t="s">
        <v>238</v>
      </c>
      <c r="C146" t="s">
        <v>906</v>
      </c>
      <c r="D146" s="4">
        <v>17.68</v>
      </c>
      <c r="E146" s="4">
        <v>0.88800000000000001</v>
      </c>
      <c r="F146" s="4">
        <v>0.35299999999999998</v>
      </c>
      <c r="G146" s="4">
        <v>0.54200000000000004</v>
      </c>
      <c r="H146" s="4">
        <v>0.627</v>
      </c>
      <c r="I146" t="s">
        <v>907</v>
      </c>
      <c r="J146" t="s">
        <v>48</v>
      </c>
      <c r="K146" t="s">
        <v>1043</v>
      </c>
      <c r="L146" t="s">
        <v>488</v>
      </c>
    </row>
    <row r="147" spans="1:12" x14ac:dyDescent="0.3">
      <c r="A147" t="s">
        <v>211</v>
      </c>
      <c r="B147" t="s">
        <v>213</v>
      </c>
      <c r="C147" t="s">
        <v>906</v>
      </c>
      <c r="D147" s="4">
        <v>23.71</v>
      </c>
      <c r="E147" s="4">
        <v>0.82899999999999996</v>
      </c>
      <c r="F147" s="4">
        <v>0.24399999999999999</v>
      </c>
      <c r="G147" s="4">
        <v>0.57599999999999996</v>
      </c>
      <c r="H147" s="4">
        <v>0.57599999999999996</v>
      </c>
      <c r="I147" t="s">
        <v>907</v>
      </c>
      <c r="J147" t="s">
        <v>48</v>
      </c>
      <c r="K147" t="s">
        <v>1044</v>
      </c>
      <c r="L147" t="s">
        <v>488</v>
      </c>
    </row>
    <row r="148" spans="1:12" x14ac:dyDescent="0.3">
      <c r="A148" t="s">
        <v>213</v>
      </c>
      <c r="B148" t="s">
        <v>256</v>
      </c>
      <c r="C148" t="s">
        <v>896</v>
      </c>
      <c r="D148" s="4">
        <v>19.440000000000001</v>
      </c>
      <c r="E148" s="4">
        <v>0.83599999999999997</v>
      </c>
      <c r="F148" s="4">
        <v>0.83</v>
      </c>
      <c r="G148" s="4">
        <v>0.66500000000000004</v>
      </c>
      <c r="H148" s="4">
        <v>0.79</v>
      </c>
      <c r="I148" t="s">
        <v>891</v>
      </c>
      <c r="J148" t="s">
        <v>48</v>
      </c>
      <c r="K148" t="s">
        <v>1045</v>
      </c>
      <c r="L148" t="s">
        <v>488</v>
      </c>
    </row>
    <row r="149" spans="1:12" x14ac:dyDescent="0.3">
      <c r="A149" t="s">
        <v>213</v>
      </c>
      <c r="B149" t="s">
        <v>234</v>
      </c>
      <c r="C149" t="s">
        <v>896</v>
      </c>
      <c r="D149" s="4">
        <v>22.46</v>
      </c>
      <c r="E149" s="4">
        <v>0.80600000000000005</v>
      </c>
      <c r="F149" s="4">
        <v>0.76500000000000001</v>
      </c>
      <c r="G149" s="4">
        <v>0.48199999999999998</v>
      </c>
      <c r="H149" s="4">
        <v>0.70899999999999996</v>
      </c>
      <c r="I149" t="s">
        <v>891</v>
      </c>
      <c r="J149" t="s">
        <v>48</v>
      </c>
      <c r="K149" t="s">
        <v>1046</v>
      </c>
      <c r="L149" t="s">
        <v>488</v>
      </c>
    </row>
    <row r="150" spans="1:12" x14ac:dyDescent="0.3">
      <c r="A150" t="s">
        <v>213</v>
      </c>
      <c r="B150" t="s">
        <v>238</v>
      </c>
      <c r="C150" t="s">
        <v>896</v>
      </c>
      <c r="D150" s="4">
        <v>41.38</v>
      </c>
      <c r="E150" s="4">
        <v>0.82399999999999995</v>
      </c>
      <c r="F150" s="4">
        <v>0.64200000000000002</v>
      </c>
      <c r="G150" s="4">
        <v>0.30599999999999999</v>
      </c>
      <c r="H150" s="4">
        <v>0.63100000000000001</v>
      </c>
      <c r="I150" t="s">
        <v>891</v>
      </c>
      <c r="J150" t="s">
        <v>48</v>
      </c>
      <c r="K150" t="s">
        <v>1047</v>
      </c>
      <c r="L150" t="s">
        <v>488</v>
      </c>
    </row>
    <row r="151" spans="1:12" x14ac:dyDescent="0.3">
      <c r="A151" t="s">
        <v>216</v>
      </c>
      <c r="B151" t="s">
        <v>228</v>
      </c>
      <c r="C151" t="s">
        <v>890</v>
      </c>
      <c r="D151" s="4">
        <v>12.15</v>
      </c>
      <c r="E151" s="4">
        <v>0.754</v>
      </c>
      <c r="F151" s="4">
        <v>0.90600000000000003</v>
      </c>
      <c r="G151" s="4">
        <v>0.77600000000000002</v>
      </c>
      <c r="H151" s="4">
        <v>0.80800000000000005</v>
      </c>
      <c r="I151" t="s">
        <v>891</v>
      </c>
      <c r="J151" t="s">
        <v>892</v>
      </c>
      <c r="K151" t="s">
        <v>1048</v>
      </c>
      <c r="L151" t="s">
        <v>488</v>
      </c>
    </row>
    <row r="152" spans="1:12" x14ac:dyDescent="0.3">
      <c r="A152" t="s">
        <v>216</v>
      </c>
      <c r="B152" t="s">
        <v>218</v>
      </c>
      <c r="C152" t="s">
        <v>890</v>
      </c>
      <c r="D152" s="4">
        <v>14.43</v>
      </c>
      <c r="E152" s="4">
        <v>0.91900000000000004</v>
      </c>
      <c r="F152" s="4">
        <v>0.82499999999999996</v>
      </c>
      <c r="G152" s="4">
        <v>0.627</v>
      </c>
      <c r="H152" s="4">
        <v>0.81299999999999994</v>
      </c>
      <c r="I152" t="s">
        <v>891</v>
      </c>
      <c r="J152" t="s">
        <v>48</v>
      </c>
      <c r="K152" t="s">
        <v>1049</v>
      </c>
      <c r="L152" t="s">
        <v>488</v>
      </c>
    </row>
    <row r="153" spans="1:12" x14ac:dyDescent="0.3">
      <c r="A153" t="s">
        <v>216</v>
      </c>
      <c r="B153" t="s">
        <v>268</v>
      </c>
      <c r="C153" t="s">
        <v>896</v>
      </c>
      <c r="D153" s="4">
        <v>17.329999999999998</v>
      </c>
      <c r="E153" s="4">
        <v>0.60199999999999998</v>
      </c>
      <c r="F153" s="4">
        <v>0.80400000000000005</v>
      </c>
      <c r="G153" s="4">
        <v>0.65</v>
      </c>
      <c r="H153" s="4">
        <v>0.67900000000000005</v>
      </c>
      <c r="I153" t="s">
        <v>891</v>
      </c>
      <c r="J153" t="s">
        <v>892</v>
      </c>
      <c r="K153" t="s">
        <v>1050</v>
      </c>
      <c r="L153" t="s">
        <v>488</v>
      </c>
    </row>
    <row r="154" spans="1:12" x14ac:dyDescent="0.3">
      <c r="A154" t="s">
        <v>218</v>
      </c>
      <c r="B154" t="s">
        <v>228</v>
      </c>
      <c r="C154" t="s">
        <v>890</v>
      </c>
      <c r="D154" s="4">
        <v>7.33</v>
      </c>
      <c r="E154" s="4">
        <v>0.82699999999999996</v>
      </c>
      <c r="F154" s="4">
        <v>0.85199999999999998</v>
      </c>
      <c r="G154" s="4">
        <v>0.80600000000000005</v>
      </c>
      <c r="H154" s="4">
        <v>0.83</v>
      </c>
      <c r="I154" t="s">
        <v>891</v>
      </c>
      <c r="J154" t="s">
        <v>892</v>
      </c>
      <c r="K154" t="s">
        <v>1051</v>
      </c>
      <c r="L154" t="s">
        <v>488</v>
      </c>
    </row>
    <row r="155" spans="1:12" x14ac:dyDescent="0.3">
      <c r="A155" t="s">
        <v>218</v>
      </c>
      <c r="B155" t="s">
        <v>238</v>
      </c>
      <c r="C155" t="s">
        <v>896</v>
      </c>
      <c r="D155" s="4">
        <v>20.95</v>
      </c>
      <c r="E155" s="4">
        <v>0.82299999999999995</v>
      </c>
      <c r="F155" s="4">
        <v>0.77300000000000002</v>
      </c>
      <c r="G155" s="4">
        <v>0.68600000000000005</v>
      </c>
      <c r="H155" s="4">
        <v>0.77100000000000002</v>
      </c>
      <c r="I155" t="s">
        <v>891</v>
      </c>
      <c r="J155" t="s">
        <v>48</v>
      </c>
      <c r="K155" t="s">
        <v>1052</v>
      </c>
      <c r="L155" t="s">
        <v>488</v>
      </c>
    </row>
    <row r="156" spans="1:12" x14ac:dyDescent="0.3">
      <c r="A156" t="s">
        <v>220</v>
      </c>
      <c r="B156" t="s">
        <v>268</v>
      </c>
      <c r="C156" t="s">
        <v>890</v>
      </c>
      <c r="D156" s="4">
        <v>13.35</v>
      </c>
      <c r="E156" s="4">
        <v>0.54400000000000004</v>
      </c>
      <c r="F156" s="4">
        <v>0.83099999999999996</v>
      </c>
      <c r="G156" s="4">
        <v>0.66300000000000003</v>
      </c>
      <c r="H156" s="4">
        <v>0.66700000000000004</v>
      </c>
      <c r="I156" t="s">
        <v>891</v>
      </c>
      <c r="J156" t="s">
        <v>892</v>
      </c>
      <c r="K156" t="s">
        <v>1053</v>
      </c>
      <c r="L156" t="s">
        <v>488</v>
      </c>
    </row>
    <row r="157" spans="1:12" x14ac:dyDescent="0.3">
      <c r="A157" t="s">
        <v>220</v>
      </c>
      <c r="B157" t="s">
        <v>216</v>
      </c>
      <c r="C157" t="s">
        <v>896</v>
      </c>
      <c r="D157" s="4">
        <v>23.35</v>
      </c>
      <c r="E157" s="4">
        <v>0.83599999999999997</v>
      </c>
      <c r="F157" s="4">
        <v>0.73499999999999999</v>
      </c>
      <c r="G157" s="4">
        <v>0.55000000000000004</v>
      </c>
      <c r="H157" s="4">
        <v>0.73</v>
      </c>
      <c r="I157" t="s">
        <v>891</v>
      </c>
      <c r="J157" t="s">
        <v>48</v>
      </c>
      <c r="K157" t="s">
        <v>1054</v>
      </c>
      <c r="L157" t="s">
        <v>488</v>
      </c>
    </row>
    <row r="158" spans="1:12" x14ac:dyDescent="0.3">
      <c r="A158" t="s">
        <v>220</v>
      </c>
      <c r="B158" t="s">
        <v>206</v>
      </c>
      <c r="C158" t="s">
        <v>896</v>
      </c>
      <c r="D158" s="4">
        <v>30.19</v>
      </c>
      <c r="E158" s="4">
        <v>0.61199999999999999</v>
      </c>
      <c r="F158" s="4">
        <v>0.70399999999999996</v>
      </c>
      <c r="G158" s="4">
        <v>0.61699999999999999</v>
      </c>
      <c r="H158" s="4">
        <v>0.64300000000000002</v>
      </c>
      <c r="I158" t="s">
        <v>891</v>
      </c>
      <c r="J158" t="s">
        <v>892</v>
      </c>
      <c r="K158" t="s">
        <v>1055</v>
      </c>
      <c r="L158" t="s">
        <v>488</v>
      </c>
    </row>
    <row r="159" spans="1:12" x14ac:dyDescent="0.3">
      <c r="A159" t="s">
        <v>222</v>
      </c>
      <c r="B159" t="s">
        <v>264</v>
      </c>
      <c r="C159" t="s">
        <v>896</v>
      </c>
      <c r="D159" s="4">
        <v>16.55</v>
      </c>
      <c r="E159" s="4">
        <v>0.85899999999999999</v>
      </c>
      <c r="F159" s="4">
        <v>0.81799999999999995</v>
      </c>
      <c r="G159" s="4">
        <v>0.52200000000000002</v>
      </c>
      <c r="H159" s="4">
        <v>0.75800000000000001</v>
      </c>
      <c r="I159" t="s">
        <v>891</v>
      </c>
      <c r="J159" t="s">
        <v>898</v>
      </c>
      <c r="K159" t="s">
        <v>1056</v>
      </c>
      <c r="L159" t="s">
        <v>488</v>
      </c>
    </row>
    <row r="160" spans="1:12" x14ac:dyDescent="0.3">
      <c r="A160" t="s">
        <v>222</v>
      </c>
      <c r="B160" t="s">
        <v>262</v>
      </c>
      <c r="C160" t="s">
        <v>896</v>
      </c>
      <c r="D160" s="4">
        <v>26.53</v>
      </c>
      <c r="E160" s="4">
        <v>0.78500000000000003</v>
      </c>
      <c r="F160" s="4">
        <v>0.79300000000000004</v>
      </c>
      <c r="G160" s="4">
        <v>0.42199999999999999</v>
      </c>
      <c r="H160" s="4">
        <v>0.69299999999999995</v>
      </c>
      <c r="I160" t="s">
        <v>891</v>
      </c>
      <c r="J160" t="s">
        <v>898</v>
      </c>
      <c r="K160" t="s">
        <v>1057</v>
      </c>
      <c r="L160" t="s">
        <v>488</v>
      </c>
    </row>
    <row r="161" spans="1:12" x14ac:dyDescent="0.3">
      <c r="A161" t="s">
        <v>222</v>
      </c>
      <c r="B161" t="s">
        <v>226</v>
      </c>
      <c r="C161" t="s">
        <v>896</v>
      </c>
      <c r="D161" s="4">
        <v>51.05</v>
      </c>
      <c r="E161" s="4">
        <v>0.77100000000000002</v>
      </c>
      <c r="F161" s="4">
        <v>0.61899999999999999</v>
      </c>
      <c r="G161" s="4">
        <v>0.36</v>
      </c>
      <c r="H161" s="4">
        <v>0.61499999999999999</v>
      </c>
      <c r="I161" t="s">
        <v>891</v>
      </c>
      <c r="J161" t="s">
        <v>898</v>
      </c>
      <c r="K161" t="s">
        <v>1058</v>
      </c>
      <c r="L161" t="s">
        <v>488</v>
      </c>
    </row>
    <row r="162" spans="1:12" x14ac:dyDescent="0.3">
      <c r="A162" t="s">
        <v>224</v>
      </c>
      <c r="B162" t="s">
        <v>252</v>
      </c>
      <c r="C162" t="s">
        <v>912</v>
      </c>
      <c r="D162" s="4">
        <v>23.47</v>
      </c>
      <c r="E162" s="4">
        <v>0.873</v>
      </c>
      <c r="F162" s="4">
        <v>0.32400000000000001</v>
      </c>
      <c r="G162" s="4">
        <v>0.66800000000000004</v>
      </c>
      <c r="H162" s="4">
        <v>0.64400000000000002</v>
      </c>
      <c r="I162" t="s">
        <v>907</v>
      </c>
      <c r="J162" t="s">
        <v>48</v>
      </c>
      <c r="K162" t="s">
        <v>1059</v>
      </c>
      <c r="L162" t="s">
        <v>488</v>
      </c>
    </row>
    <row r="163" spans="1:12" x14ac:dyDescent="0.3">
      <c r="A163" t="s">
        <v>224</v>
      </c>
      <c r="B163" t="s">
        <v>284</v>
      </c>
      <c r="C163" t="s">
        <v>890</v>
      </c>
      <c r="D163" s="4">
        <v>5.99</v>
      </c>
      <c r="E163" s="4">
        <v>0.61299999999999999</v>
      </c>
      <c r="F163" s="4">
        <v>0.872</v>
      </c>
      <c r="G163" s="4">
        <v>0.55400000000000005</v>
      </c>
      <c r="H163" s="4">
        <v>0.68</v>
      </c>
      <c r="I163" t="s">
        <v>891</v>
      </c>
      <c r="J163" t="s">
        <v>892</v>
      </c>
      <c r="K163" t="s">
        <v>1060</v>
      </c>
      <c r="L163" t="s">
        <v>488</v>
      </c>
    </row>
    <row r="164" spans="1:12" x14ac:dyDescent="0.3">
      <c r="A164" t="s">
        <v>224</v>
      </c>
      <c r="B164" t="s">
        <v>260</v>
      </c>
      <c r="C164" t="s">
        <v>912</v>
      </c>
      <c r="D164" s="4">
        <v>27.7</v>
      </c>
      <c r="E164" s="4">
        <v>0.88</v>
      </c>
      <c r="F164" s="4">
        <v>0.36599999999999999</v>
      </c>
      <c r="G164" s="4">
        <v>0.57799999999999996</v>
      </c>
      <c r="H164" s="4">
        <v>0.63700000000000001</v>
      </c>
      <c r="I164" t="s">
        <v>907</v>
      </c>
      <c r="J164" t="s">
        <v>48</v>
      </c>
      <c r="K164" t="s">
        <v>1061</v>
      </c>
      <c r="L164" t="s">
        <v>488</v>
      </c>
    </row>
    <row r="165" spans="1:12" x14ac:dyDescent="0.3">
      <c r="A165" t="s">
        <v>224</v>
      </c>
      <c r="B165" t="s">
        <v>355</v>
      </c>
      <c r="C165" t="s">
        <v>890</v>
      </c>
      <c r="D165" s="4">
        <v>13.22</v>
      </c>
      <c r="E165" s="4">
        <v>0.61499999999999999</v>
      </c>
      <c r="F165" s="4">
        <v>0.80400000000000005</v>
      </c>
      <c r="G165" s="4">
        <v>0.59799999999999998</v>
      </c>
      <c r="H165" s="4">
        <v>0.67100000000000004</v>
      </c>
      <c r="I165" t="s">
        <v>891</v>
      </c>
      <c r="J165" t="s">
        <v>892</v>
      </c>
      <c r="K165" t="s">
        <v>1062</v>
      </c>
      <c r="L165" t="s">
        <v>488</v>
      </c>
    </row>
    <row r="166" spans="1:12" x14ac:dyDescent="0.3">
      <c r="A166" t="s">
        <v>226</v>
      </c>
      <c r="B166" t="s">
        <v>250</v>
      </c>
      <c r="C166" t="s">
        <v>906</v>
      </c>
      <c r="D166" s="4">
        <v>4.6399999999999997</v>
      </c>
      <c r="E166" s="4">
        <v>0.89200000000000002</v>
      </c>
      <c r="F166" s="4">
        <v>0.40400000000000003</v>
      </c>
      <c r="G166" s="4">
        <v>0.77100000000000002</v>
      </c>
      <c r="H166" s="4">
        <v>0.70399999999999996</v>
      </c>
      <c r="I166" t="s">
        <v>907</v>
      </c>
      <c r="J166" t="s">
        <v>48</v>
      </c>
      <c r="K166" t="s">
        <v>1063</v>
      </c>
      <c r="L166" t="s">
        <v>488</v>
      </c>
    </row>
    <row r="167" spans="1:12" x14ac:dyDescent="0.3">
      <c r="A167" t="s">
        <v>226</v>
      </c>
      <c r="B167" t="s">
        <v>228</v>
      </c>
      <c r="C167" t="s">
        <v>896</v>
      </c>
      <c r="D167" s="4">
        <v>37.64</v>
      </c>
      <c r="E167" s="4">
        <v>0.83</v>
      </c>
      <c r="F167" s="4">
        <v>0.67600000000000005</v>
      </c>
      <c r="G167" s="4">
        <v>0.55800000000000005</v>
      </c>
      <c r="H167" s="4">
        <v>0.71</v>
      </c>
      <c r="I167" t="s">
        <v>891</v>
      </c>
      <c r="J167" t="s">
        <v>892</v>
      </c>
      <c r="K167" t="s">
        <v>1064</v>
      </c>
      <c r="L167" t="s">
        <v>488</v>
      </c>
    </row>
    <row r="168" spans="1:12" x14ac:dyDescent="0.3">
      <c r="A168" t="s">
        <v>226</v>
      </c>
      <c r="B168" t="s">
        <v>262</v>
      </c>
      <c r="C168" t="s">
        <v>896</v>
      </c>
      <c r="D168" s="4">
        <v>42.45</v>
      </c>
      <c r="E168" s="4">
        <v>0.89100000000000001</v>
      </c>
      <c r="F168" s="4">
        <v>0.64300000000000002</v>
      </c>
      <c r="G168" s="4">
        <v>0.32100000000000001</v>
      </c>
      <c r="H168" s="4">
        <v>0.66300000000000003</v>
      </c>
      <c r="I168" t="s">
        <v>891</v>
      </c>
      <c r="J168" t="s">
        <v>48</v>
      </c>
      <c r="K168" t="s">
        <v>1065</v>
      </c>
      <c r="L168" t="s">
        <v>488</v>
      </c>
    </row>
    <row r="169" spans="1:12" x14ac:dyDescent="0.3">
      <c r="A169" t="s">
        <v>228</v>
      </c>
      <c r="B169" t="s">
        <v>238</v>
      </c>
      <c r="C169" t="s">
        <v>896</v>
      </c>
      <c r="D169" s="4">
        <v>24.77</v>
      </c>
      <c r="E169" s="4">
        <v>0.65</v>
      </c>
      <c r="F169" s="4">
        <v>0.76</v>
      </c>
      <c r="G169" s="4">
        <v>0.59399999999999997</v>
      </c>
      <c r="H169" s="4">
        <v>0.67100000000000004</v>
      </c>
      <c r="I169" t="s">
        <v>891</v>
      </c>
      <c r="J169" t="s">
        <v>892</v>
      </c>
      <c r="K169" t="s">
        <v>1066</v>
      </c>
      <c r="L169" t="s">
        <v>488</v>
      </c>
    </row>
    <row r="170" spans="1:12" x14ac:dyDescent="0.3">
      <c r="A170" t="s">
        <v>230</v>
      </c>
      <c r="B170" t="s">
        <v>260</v>
      </c>
      <c r="C170" t="s">
        <v>896</v>
      </c>
      <c r="D170" s="4">
        <v>16.48</v>
      </c>
      <c r="E170" s="4">
        <v>0.81100000000000005</v>
      </c>
      <c r="F170" s="4">
        <v>0.81599999999999995</v>
      </c>
      <c r="G170" s="4">
        <v>0.52500000000000002</v>
      </c>
      <c r="H170" s="4">
        <v>0.73899999999999999</v>
      </c>
      <c r="I170" t="s">
        <v>891</v>
      </c>
      <c r="J170" t="s">
        <v>892</v>
      </c>
      <c r="K170" t="s">
        <v>1067</v>
      </c>
      <c r="L170" t="s">
        <v>488</v>
      </c>
    </row>
    <row r="171" spans="1:12" x14ac:dyDescent="0.3">
      <c r="A171" t="s">
        <v>230</v>
      </c>
      <c r="B171" t="s">
        <v>244</v>
      </c>
      <c r="C171" t="s">
        <v>906</v>
      </c>
      <c r="D171" s="4">
        <v>9.86</v>
      </c>
      <c r="E171" s="4">
        <v>0.69199999999999995</v>
      </c>
      <c r="F171" s="4">
        <v>0.36699999999999999</v>
      </c>
      <c r="G171" s="4">
        <v>0.624</v>
      </c>
      <c r="H171" s="4">
        <v>0.56999999999999995</v>
      </c>
      <c r="I171" t="s">
        <v>907</v>
      </c>
      <c r="J171" t="s">
        <v>892</v>
      </c>
      <c r="K171" t="s">
        <v>1068</v>
      </c>
      <c r="L171" t="s">
        <v>488</v>
      </c>
    </row>
    <row r="172" spans="1:12" x14ac:dyDescent="0.3">
      <c r="A172" t="s">
        <v>232</v>
      </c>
      <c r="B172" t="s">
        <v>220</v>
      </c>
      <c r="C172" t="s">
        <v>906</v>
      </c>
      <c r="D172" s="4">
        <v>30.92</v>
      </c>
      <c r="E172" s="4">
        <v>0.85299999999999998</v>
      </c>
      <c r="F172" s="4">
        <v>0.27200000000000002</v>
      </c>
      <c r="G172" s="4">
        <v>0.45800000000000002</v>
      </c>
      <c r="H172" s="4">
        <v>0.56499999999999995</v>
      </c>
      <c r="I172" t="s">
        <v>907</v>
      </c>
      <c r="J172" t="s">
        <v>48</v>
      </c>
      <c r="K172" t="s">
        <v>1069</v>
      </c>
      <c r="L172" t="s">
        <v>488</v>
      </c>
    </row>
    <row r="173" spans="1:12" x14ac:dyDescent="0.3">
      <c r="A173" t="s">
        <v>232</v>
      </c>
      <c r="B173" t="s">
        <v>194</v>
      </c>
      <c r="C173" t="s">
        <v>896</v>
      </c>
      <c r="D173" s="4">
        <v>46.96</v>
      </c>
      <c r="E173" s="4">
        <v>0.81499999999999995</v>
      </c>
      <c r="F173" s="4">
        <v>0.63800000000000001</v>
      </c>
      <c r="G173" s="4">
        <v>0.41499999999999998</v>
      </c>
      <c r="H173" s="4">
        <v>0.65400000000000003</v>
      </c>
      <c r="I173" t="s">
        <v>891</v>
      </c>
      <c r="J173" t="s">
        <v>48</v>
      </c>
      <c r="K173" t="s">
        <v>1070</v>
      </c>
      <c r="L173" t="s">
        <v>488</v>
      </c>
    </row>
    <row r="174" spans="1:12" x14ac:dyDescent="0.3">
      <c r="A174" t="s">
        <v>232</v>
      </c>
      <c r="B174" t="s">
        <v>244</v>
      </c>
      <c r="C174" t="s">
        <v>912</v>
      </c>
      <c r="D174" s="4">
        <v>32.74</v>
      </c>
      <c r="E174" s="4">
        <v>0.84799999999999998</v>
      </c>
      <c r="F174" s="4">
        <v>0.26400000000000001</v>
      </c>
      <c r="G174" s="4">
        <v>0.60299999999999998</v>
      </c>
      <c r="H174" s="4">
        <v>0.59799999999999998</v>
      </c>
      <c r="I174" t="s">
        <v>907</v>
      </c>
      <c r="J174" t="s">
        <v>48</v>
      </c>
      <c r="K174" t="s">
        <v>1071</v>
      </c>
      <c r="L174" t="s">
        <v>488</v>
      </c>
    </row>
    <row r="175" spans="1:12" x14ac:dyDescent="0.3">
      <c r="A175" t="s">
        <v>234</v>
      </c>
      <c r="B175" t="s">
        <v>256</v>
      </c>
      <c r="C175" t="s">
        <v>896</v>
      </c>
      <c r="D175" s="4">
        <v>38.81</v>
      </c>
      <c r="E175" s="4">
        <v>0.81100000000000005</v>
      </c>
      <c r="F175" s="4">
        <v>0.68100000000000005</v>
      </c>
      <c r="G175" s="4">
        <v>0.55500000000000005</v>
      </c>
      <c r="H175" s="4">
        <v>0.70299999999999996</v>
      </c>
      <c r="I175" t="s">
        <v>891</v>
      </c>
      <c r="J175" t="s">
        <v>48</v>
      </c>
      <c r="K175" t="s">
        <v>1072</v>
      </c>
      <c r="L175" t="s">
        <v>488</v>
      </c>
    </row>
    <row r="176" spans="1:12" x14ac:dyDescent="0.3">
      <c r="A176" t="s">
        <v>234</v>
      </c>
      <c r="B176" t="s">
        <v>258</v>
      </c>
      <c r="C176" t="s">
        <v>906</v>
      </c>
      <c r="D176" s="4">
        <v>25.34</v>
      </c>
      <c r="E176" s="4">
        <v>0.79200000000000004</v>
      </c>
      <c r="F176" s="4">
        <v>0.28599999999999998</v>
      </c>
      <c r="G176" s="4">
        <v>0.49</v>
      </c>
      <c r="H176" s="4">
        <v>0.55100000000000005</v>
      </c>
      <c r="I176" t="s">
        <v>907</v>
      </c>
      <c r="J176" t="s">
        <v>48</v>
      </c>
      <c r="K176" t="s">
        <v>1073</v>
      </c>
      <c r="L176" t="s">
        <v>488</v>
      </c>
    </row>
    <row r="177" spans="1:12" x14ac:dyDescent="0.3">
      <c r="A177" t="s">
        <v>236</v>
      </c>
      <c r="B177" t="s">
        <v>266</v>
      </c>
      <c r="C177" t="s">
        <v>912</v>
      </c>
      <c r="D177" s="4">
        <v>20.23</v>
      </c>
      <c r="E177" s="4">
        <v>0.84599999999999997</v>
      </c>
      <c r="F177" s="4">
        <v>0.26400000000000001</v>
      </c>
      <c r="G177" s="4">
        <v>0.76200000000000001</v>
      </c>
      <c r="H177" s="4">
        <v>0.63800000000000001</v>
      </c>
      <c r="I177" t="s">
        <v>907</v>
      </c>
      <c r="J177" t="s">
        <v>48</v>
      </c>
      <c r="K177" t="s">
        <v>1074</v>
      </c>
      <c r="L177" t="s">
        <v>488</v>
      </c>
    </row>
    <row r="178" spans="1:12" x14ac:dyDescent="0.3">
      <c r="A178" t="s">
        <v>236</v>
      </c>
      <c r="B178" t="s">
        <v>262</v>
      </c>
      <c r="C178" t="s">
        <v>906</v>
      </c>
      <c r="D178" s="4">
        <v>26.08</v>
      </c>
      <c r="E178" s="4">
        <v>0.84899999999999998</v>
      </c>
      <c r="F178" s="4">
        <v>0.29499999999999998</v>
      </c>
      <c r="G178" s="4">
        <v>0.68</v>
      </c>
      <c r="H178" s="4">
        <v>0.628</v>
      </c>
      <c r="I178" t="s">
        <v>907</v>
      </c>
      <c r="J178" t="s">
        <v>48</v>
      </c>
      <c r="K178" t="s">
        <v>1075</v>
      </c>
      <c r="L178" t="s">
        <v>488</v>
      </c>
    </row>
    <row r="179" spans="1:12" x14ac:dyDescent="0.3">
      <c r="A179" t="s">
        <v>236</v>
      </c>
      <c r="B179" t="s">
        <v>252</v>
      </c>
      <c r="C179" t="s">
        <v>912</v>
      </c>
      <c r="D179" s="4">
        <v>32.71</v>
      </c>
      <c r="E179" s="4">
        <v>0.747</v>
      </c>
      <c r="F179" s="4">
        <v>0.26900000000000002</v>
      </c>
      <c r="G179" s="4">
        <v>0.64</v>
      </c>
      <c r="H179" s="4">
        <v>0.56599999999999995</v>
      </c>
      <c r="I179" t="s">
        <v>907</v>
      </c>
      <c r="J179" t="s">
        <v>48</v>
      </c>
      <c r="K179" t="s">
        <v>1076</v>
      </c>
      <c r="L179" t="s">
        <v>488</v>
      </c>
    </row>
    <row r="180" spans="1:12" x14ac:dyDescent="0.3">
      <c r="A180" t="s">
        <v>236</v>
      </c>
      <c r="B180" t="s">
        <v>264</v>
      </c>
      <c r="C180" t="s">
        <v>906</v>
      </c>
      <c r="D180" s="4">
        <v>33.75</v>
      </c>
      <c r="E180" s="4">
        <v>0.91500000000000004</v>
      </c>
      <c r="F180" s="4">
        <v>0.17699999999999999</v>
      </c>
      <c r="G180" s="4">
        <v>0.57499999999999996</v>
      </c>
      <c r="H180" s="4">
        <v>0.59</v>
      </c>
      <c r="I180" t="s">
        <v>907</v>
      </c>
      <c r="J180" t="s">
        <v>48</v>
      </c>
      <c r="K180" t="s">
        <v>1077</v>
      </c>
      <c r="L180" t="s">
        <v>488</v>
      </c>
    </row>
    <row r="181" spans="1:12" x14ac:dyDescent="0.3">
      <c r="A181" t="s">
        <v>240</v>
      </c>
      <c r="B181" t="s">
        <v>222</v>
      </c>
      <c r="C181" t="s">
        <v>912</v>
      </c>
      <c r="D181" s="4">
        <v>38.22</v>
      </c>
      <c r="E181" s="4">
        <v>0.84299999999999997</v>
      </c>
      <c r="F181" s="4">
        <v>0.20599999999999999</v>
      </c>
      <c r="G181" s="4">
        <v>0.65100000000000002</v>
      </c>
      <c r="H181" s="4">
        <v>0.58899999999999997</v>
      </c>
      <c r="I181" t="s">
        <v>907</v>
      </c>
      <c r="J181" t="s">
        <v>898</v>
      </c>
      <c r="K181" t="s">
        <v>1078</v>
      </c>
      <c r="L181" t="s">
        <v>488</v>
      </c>
    </row>
    <row r="182" spans="1:12" x14ac:dyDescent="0.3">
      <c r="A182" t="s">
        <v>242</v>
      </c>
      <c r="B182" t="s">
        <v>256</v>
      </c>
      <c r="C182" t="s">
        <v>896</v>
      </c>
      <c r="D182" s="4">
        <v>31.73</v>
      </c>
      <c r="E182" s="4">
        <v>0.91700000000000004</v>
      </c>
      <c r="F182" s="4">
        <v>0.70099999999999996</v>
      </c>
      <c r="G182" s="4">
        <v>0.64400000000000002</v>
      </c>
      <c r="H182" s="4">
        <v>0.77600000000000002</v>
      </c>
      <c r="I182" t="s">
        <v>891</v>
      </c>
      <c r="J182" t="s">
        <v>48</v>
      </c>
      <c r="K182" t="s">
        <v>1079</v>
      </c>
      <c r="L182" t="s">
        <v>488</v>
      </c>
    </row>
    <row r="183" spans="1:12" x14ac:dyDescent="0.3">
      <c r="A183" t="s">
        <v>242</v>
      </c>
      <c r="B183" t="s">
        <v>248</v>
      </c>
      <c r="C183" t="s">
        <v>906</v>
      </c>
      <c r="D183" s="4">
        <v>19.12</v>
      </c>
      <c r="E183" s="4">
        <v>0.751</v>
      </c>
      <c r="F183" s="4">
        <v>0.32100000000000001</v>
      </c>
      <c r="G183" s="4">
        <v>0.74199999999999999</v>
      </c>
      <c r="H183" s="4">
        <v>0.61099999999999999</v>
      </c>
      <c r="I183" t="s">
        <v>907</v>
      </c>
      <c r="J183" t="s">
        <v>48</v>
      </c>
      <c r="K183" t="s">
        <v>1080</v>
      </c>
      <c r="L183" t="s">
        <v>488</v>
      </c>
    </row>
    <row r="184" spans="1:12" x14ac:dyDescent="0.3">
      <c r="A184" t="s">
        <v>244</v>
      </c>
      <c r="B184" t="s">
        <v>260</v>
      </c>
      <c r="C184" t="s">
        <v>906</v>
      </c>
      <c r="D184" s="4">
        <v>22.8</v>
      </c>
      <c r="E184" s="4">
        <v>0.87</v>
      </c>
      <c r="F184" s="4">
        <v>0.32400000000000001</v>
      </c>
      <c r="G184" s="4">
        <v>0.71899999999999997</v>
      </c>
      <c r="H184" s="4">
        <v>0.65600000000000003</v>
      </c>
      <c r="I184" t="s">
        <v>907</v>
      </c>
      <c r="J184" t="s">
        <v>48</v>
      </c>
      <c r="K184" t="s">
        <v>1081</v>
      </c>
      <c r="L184" t="s">
        <v>488</v>
      </c>
    </row>
    <row r="185" spans="1:12" x14ac:dyDescent="0.3">
      <c r="A185" t="s">
        <v>246</v>
      </c>
      <c r="B185" t="s">
        <v>254</v>
      </c>
      <c r="C185" t="s">
        <v>896</v>
      </c>
      <c r="D185" s="4">
        <v>44.57</v>
      </c>
      <c r="E185" s="4">
        <v>0.86399999999999999</v>
      </c>
      <c r="F185" s="4">
        <v>0.64600000000000002</v>
      </c>
      <c r="G185" s="4">
        <v>0.55100000000000005</v>
      </c>
      <c r="H185" s="4">
        <v>0.71299999999999997</v>
      </c>
      <c r="I185" t="s">
        <v>891</v>
      </c>
      <c r="J185" t="s">
        <v>48</v>
      </c>
      <c r="K185" t="s">
        <v>1082</v>
      </c>
      <c r="L185" t="s">
        <v>488</v>
      </c>
    </row>
    <row r="186" spans="1:12" x14ac:dyDescent="0.3">
      <c r="A186" t="s">
        <v>246</v>
      </c>
      <c r="B186" t="s">
        <v>186</v>
      </c>
      <c r="C186" t="s">
        <v>896</v>
      </c>
      <c r="D186" s="4">
        <v>49.77</v>
      </c>
      <c r="E186" s="4">
        <v>0.78300000000000003</v>
      </c>
      <c r="F186" s="4">
        <v>0.60199999999999998</v>
      </c>
      <c r="G186" s="4">
        <v>0.53700000000000003</v>
      </c>
      <c r="H186" s="4">
        <v>0.66100000000000003</v>
      </c>
      <c r="I186" t="s">
        <v>891</v>
      </c>
      <c r="J186" t="s">
        <v>892</v>
      </c>
      <c r="K186" t="s">
        <v>1083</v>
      </c>
      <c r="L186" t="s">
        <v>488</v>
      </c>
    </row>
    <row r="187" spans="1:12" x14ac:dyDescent="0.3">
      <c r="A187" t="s">
        <v>246</v>
      </c>
      <c r="B187" t="s">
        <v>209</v>
      </c>
      <c r="C187" t="s">
        <v>906</v>
      </c>
      <c r="D187" s="4">
        <v>43.39</v>
      </c>
      <c r="E187" s="4">
        <v>0.84599999999999997</v>
      </c>
      <c r="F187" s="4">
        <v>0.222</v>
      </c>
      <c r="G187" s="4">
        <v>0.58299999999999996</v>
      </c>
      <c r="H187" s="4">
        <v>0.57799999999999996</v>
      </c>
      <c r="I187" t="s">
        <v>907</v>
      </c>
      <c r="J187" t="s">
        <v>48</v>
      </c>
      <c r="K187" t="s">
        <v>1084</v>
      </c>
      <c r="L187" t="s">
        <v>488</v>
      </c>
    </row>
    <row r="188" spans="1:12" x14ac:dyDescent="0.3">
      <c r="A188" t="s">
        <v>246</v>
      </c>
      <c r="B188" t="s">
        <v>232</v>
      </c>
      <c r="C188" t="s">
        <v>906</v>
      </c>
      <c r="D188" s="4">
        <v>45.42</v>
      </c>
      <c r="E188" s="4">
        <v>0.879</v>
      </c>
      <c r="F188" s="4">
        <v>0.16700000000000001</v>
      </c>
      <c r="G188" s="4">
        <v>0.43099999999999999</v>
      </c>
      <c r="H188" s="4">
        <v>0.53500000000000003</v>
      </c>
      <c r="I188" t="s">
        <v>907</v>
      </c>
      <c r="J188" t="s">
        <v>48</v>
      </c>
      <c r="K188" t="s">
        <v>1085</v>
      </c>
      <c r="L188" t="s">
        <v>488</v>
      </c>
    </row>
    <row r="189" spans="1:12" x14ac:dyDescent="0.3">
      <c r="A189" t="s">
        <v>248</v>
      </c>
      <c r="B189" t="s">
        <v>256</v>
      </c>
      <c r="C189" t="s">
        <v>906</v>
      </c>
      <c r="D189" s="4">
        <v>38.549999999999997</v>
      </c>
      <c r="E189" s="4">
        <v>0.76900000000000002</v>
      </c>
      <c r="F189" s="4">
        <v>0.19500000000000001</v>
      </c>
      <c r="G189" s="4">
        <v>0.438</v>
      </c>
      <c r="H189" s="4">
        <v>0.499</v>
      </c>
      <c r="I189" t="s">
        <v>907</v>
      </c>
      <c r="J189" t="s">
        <v>48</v>
      </c>
      <c r="K189" t="s">
        <v>1086</v>
      </c>
      <c r="L189" t="s">
        <v>488</v>
      </c>
    </row>
    <row r="190" spans="1:12" x14ac:dyDescent="0.3">
      <c r="A190" t="s">
        <v>248</v>
      </c>
      <c r="B190" t="s">
        <v>209</v>
      </c>
      <c r="C190" t="s">
        <v>896</v>
      </c>
      <c r="D190" s="4">
        <v>57.96</v>
      </c>
      <c r="E190" s="4">
        <v>0.77700000000000002</v>
      </c>
      <c r="F190" s="4">
        <v>0.53700000000000003</v>
      </c>
      <c r="G190" s="4">
        <v>0.33200000000000002</v>
      </c>
      <c r="H190" s="4">
        <v>0.58399999999999996</v>
      </c>
      <c r="I190" t="s">
        <v>891</v>
      </c>
      <c r="J190" t="s">
        <v>48</v>
      </c>
      <c r="K190" t="s">
        <v>1087</v>
      </c>
      <c r="L190" t="s">
        <v>488</v>
      </c>
    </row>
    <row r="191" spans="1:12" x14ac:dyDescent="0.3">
      <c r="A191" t="s">
        <v>250</v>
      </c>
      <c r="B191" t="s">
        <v>228</v>
      </c>
      <c r="C191" t="s">
        <v>912</v>
      </c>
      <c r="D191" s="4">
        <v>33.29</v>
      </c>
      <c r="E191" s="4">
        <v>0.81699999999999995</v>
      </c>
      <c r="F191" s="4">
        <v>0.21</v>
      </c>
      <c r="G191" s="4">
        <v>0.64400000000000002</v>
      </c>
      <c r="H191" s="4">
        <v>0.57799999999999996</v>
      </c>
      <c r="I191" t="s">
        <v>907</v>
      </c>
      <c r="J191" t="s">
        <v>892</v>
      </c>
      <c r="K191" t="s">
        <v>1088</v>
      </c>
      <c r="L191" t="s">
        <v>488</v>
      </c>
    </row>
    <row r="192" spans="1:12" x14ac:dyDescent="0.3">
      <c r="A192" t="s">
        <v>252</v>
      </c>
      <c r="B192" t="s">
        <v>260</v>
      </c>
      <c r="C192" t="s">
        <v>896</v>
      </c>
      <c r="D192" s="4">
        <v>20.68</v>
      </c>
      <c r="E192" s="4">
        <v>0.82099999999999995</v>
      </c>
      <c r="F192" s="4">
        <v>0.747</v>
      </c>
      <c r="G192" s="4">
        <v>0.48099999999999998</v>
      </c>
      <c r="H192" s="4">
        <v>0.70899999999999996</v>
      </c>
      <c r="I192" t="s">
        <v>891</v>
      </c>
      <c r="J192" t="s">
        <v>48</v>
      </c>
      <c r="K192" t="s">
        <v>1089</v>
      </c>
      <c r="L192" t="s">
        <v>488</v>
      </c>
    </row>
    <row r="193" spans="1:12" x14ac:dyDescent="0.3">
      <c r="A193" t="s">
        <v>252</v>
      </c>
      <c r="B193" t="s">
        <v>230</v>
      </c>
      <c r="C193" t="s">
        <v>896</v>
      </c>
      <c r="D193" s="4">
        <v>34.99</v>
      </c>
      <c r="E193" s="4">
        <v>0.871</v>
      </c>
      <c r="F193" s="4">
        <v>0.69899999999999995</v>
      </c>
      <c r="G193" s="4">
        <v>0.503</v>
      </c>
      <c r="H193" s="4">
        <v>0.72</v>
      </c>
      <c r="I193" t="s">
        <v>891</v>
      </c>
      <c r="J193" t="s">
        <v>892</v>
      </c>
      <c r="K193" t="s">
        <v>1090</v>
      </c>
      <c r="L193" t="s">
        <v>488</v>
      </c>
    </row>
    <row r="194" spans="1:12" x14ac:dyDescent="0.3">
      <c r="A194" t="s">
        <v>252</v>
      </c>
      <c r="B194" t="s">
        <v>268</v>
      </c>
      <c r="C194" t="s">
        <v>896</v>
      </c>
      <c r="D194" s="4">
        <v>38.39</v>
      </c>
      <c r="E194" s="4">
        <v>0.74399999999999999</v>
      </c>
      <c r="F194" s="4">
        <v>0.67200000000000004</v>
      </c>
      <c r="G194" s="4">
        <v>0.34499999999999997</v>
      </c>
      <c r="H194" s="4">
        <v>0.61699999999999999</v>
      </c>
      <c r="I194" t="s">
        <v>891</v>
      </c>
      <c r="J194" t="s">
        <v>892</v>
      </c>
      <c r="K194" t="s">
        <v>1091</v>
      </c>
      <c r="L194" t="s">
        <v>488</v>
      </c>
    </row>
    <row r="195" spans="1:12" x14ac:dyDescent="0.3">
      <c r="A195" t="s">
        <v>256</v>
      </c>
      <c r="B195" t="s">
        <v>192</v>
      </c>
      <c r="C195" t="s">
        <v>906</v>
      </c>
      <c r="D195" s="4">
        <v>34.67</v>
      </c>
      <c r="E195" s="4">
        <v>0.59899999999999998</v>
      </c>
      <c r="F195" s="4">
        <v>0.24199999999999999</v>
      </c>
      <c r="G195" s="4">
        <v>0.67400000000000004</v>
      </c>
      <c r="H195" s="4">
        <v>0.504</v>
      </c>
      <c r="I195" t="s">
        <v>907</v>
      </c>
      <c r="J195" t="s">
        <v>892</v>
      </c>
      <c r="K195" t="s">
        <v>1092</v>
      </c>
      <c r="L195" t="s">
        <v>488</v>
      </c>
    </row>
    <row r="196" spans="1:12" x14ac:dyDescent="0.3">
      <c r="A196" t="s">
        <v>258</v>
      </c>
      <c r="B196" t="s">
        <v>213</v>
      </c>
      <c r="C196" t="s">
        <v>912</v>
      </c>
      <c r="D196" s="4">
        <v>26.97</v>
      </c>
      <c r="E196" s="4">
        <v>0.96099999999999997</v>
      </c>
      <c r="F196" s="4">
        <v>0.24199999999999999</v>
      </c>
      <c r="G196" s="4">
        <v>0.53900000000000003</v>
      </c>
      <c r="H196" s="4">
        <v>0.621</v>
      </c>
      <c r="I196" t="s">
        <v>907</v>
      </c>
      <c r="J196" t="s">
        <v>48</v>
      </c>
      <c r="K196" t="s">
        <v>1093</v>
      </c>
      <c r="L196" t="s">
        <v>488</v>
      </c>
    </row>
    <row r="197" spans="1:12" x14ac:dyDescent="0.3">
      <c r="A197" t="s">
        <v>260</v>
      </c>
      <c r="B197" t="s">
        <v>194</v>
      </c>
      <c r="C197" t="s">
        <v>912</v>
      </c>
      <c r="D197" s="4">
        <v>27.5</v>
      </c>
      <c r="E197" s="4">
        <v>0.88400000000000001</v>
      </c>
      <c r="F197" s="4">
        <v>0.26900000000000002</v>
      </c>
      <c r="G197" s="4">
        <v>0.55200000000000005</v>
      </c>
      <c r="H197" s="4">
        <v>0.60099999999999998</v>
      </c>
      <c r="I197" t="s">
        <v>907</v>
      </c>
      <c r="J197" t="s">
        <v>48</v>
      </c>
      <c r="K197" t="s">
        <v>1094</v>
      </c>
      <c r="L197" t="s">
        <v>488</v>
      </c>
    </row>
    <row r="198" spans="1:12" x14ac:dyDescent="0.3">
      <c r="A198" t="s">
        <v>262</v>
      </c>
      <c r="B198" t="s">
        <v>264</v>
      </c>
      <c r="C198" t="s">
        <v>890</v>
      </c>
      <c r="D198" s="4">
        <v>11.91</v>
      </c>
      <c r="E198" s="4">
        <v>0.85699999999999998</v>
      </c>
      <c r="F198" s="4">
        <v>0.86399999999999999</v>
      </c>
      <c r="G198" s="4">
        <v>0.74399999999999999</v>
      </c>
      <c r="H198" s="4">
        <v>0.83</v>
      </c>
      <c r="I198" t="s">
        <v>891</v>
      </c>
      <c r="J198" t="s">
        <v>48</v>
      </c>
      <c r="K198" t="s">
        <v>1095</v>
      </c>
      <c r="L198" t="s">
        <v>488</v>
      </c>
    </row>
    <row r="199" spans="1:12" x14ac:dyDescent="0.3">
      <c r="A199" t="s">
        <v>262</v>
      </c>
      <c r="B199" t="s">
        <v>266</v>
      </c>
      <c r="C199" t="s">
        <v>912</v>
      </c>
      <c r="D199" s="4">
        <v>16.329999999999998</v>
      </c>
      <c r="E199" s="4">
        <v>0.73699999999999999</v>
      </c>
      <c r="F199" s="4">
        <v>0.34599999999999997</v>
      </c>
      <c r="G199" s="4">
        <v>0.54500000000000004</v>
      </c>
      <c r="H199" s="4">
        <v>0.56200000000000006</v>
      </c>
      <c r="I199" t="s">
        <v>907</v>
      </c>
      <c r="J199" t="s">
        <v>48</v>
      </c>
      <c r="K199" t="s">
        <v>1096</v>
      </c>
      <c r="L199" t="s">
        <v>488</v>
      </c>
    </row>
    <row r="200" spans="1:12" x14ac:dyDescent="0.3">
      <c r="A200" t="s">
        <v>264</v>
      </c>
      <c r="B200" t="s">
        <v>266</v>
      </c>
      <c r="C200" t="s">
        <v>912</v>
      </c>
      <c r="D200" s="4">
        <v>28.16</v>
      </c>
      <c r="E200" s="4">
        <v>0.83199999999999996</v>
      </c>
      <c r="F200" s="4">
        <v>0.30499999999999999</v>
      </c>
      <c r="G200" s="4">
        <v>0.622</v>
      </c>
      <c r="H200" s="4">
        <v>0.60899999999999999</v>
      </c>
      <c r="I200" t="s">
        <v>907</v>
      </c>
      <c r="J200" t="s">
        <v>48</v>
      </c>
      <c r="K200" t="s">
        <v>1097</v>
      </c>
      <c r="L200" t="s">
        <v>488</v>
      </c>
    </row>
    <row r="201" spans="1:12" x14ac:dyDescent="0.3">
      <c r="A201" t="s">
        <v>266</v>
      </c>
      <c r="B201" t="s">
        <v>347</v>
      </c>
      <c r="C201" t="s">
        <v>890</v>
      </c>
      <c r="D201" s="4">
        <v>12.02</v>
      </c>
      <c r="E201" s="4">
        <v>0.309</v>
      </c>
      <c r="F201" s="4">
        <v>0.91900000000000004</v>
      </c>
      <c r="G201" s="4">
        <v>0.72</v>
      </c>
      <c r="H201" s="4">
        <v>0.61099999999999999</v>
      </c>
      <c r="I201" t="s">
        <v>891</v>
      </c>
      <c r="J201" t="s">
        <v>892</v>
      </c>
      <c r="K201" t="s">
        <v>1098</v>
      </c>
      <c r="L201" t="s">
        <v>488</v>
      </c>
    </row>
    <row r="202" spans="1:12" x14ac:dyDescent="0.3">
      <c r="A202" t="s">
        <v>268</v>
      </c>
      <c r="B202" t="s">
        <v>228</v>
      </c>
      <c r="C202" t="s">
        <v>896</v>
      </c>
      <c r="D202" s="4">
        <v>29.2</v>
      </c>
      <c r="E202" s="4">
        <v>0.71799999999999997</v>
      </c>
      <c r="F202" s="4">
        <v>0.69899999999999995</v>
      </c>
      <c r="G202" s="4">
        <v>0.59399999999999997</v>
      </c>
      <c r="H202" s="4">
        <v>0.68</v>
      </c>
      <c r="I202" t="s">
        <v>891</v>
      </c>
      <c r="J202" t="s">
        <v>506</v>
      </c>
      <c r="K202" t="s">
        <v>1099</v>
      </c>
      <c r="L202" t="s">
        <v>488</v>
      </c>
    </row>
    <row r="203" spans="1:12" x14ac:dyDescent="0.3">
      <c r="A203" t="s">
        <v>268</v>
      </c>
      <c r="B203" t="s">
        <v>206</v>
      </c>
      <c r="C203" t="s">
        <v>896</v>
      </c>
      <c r="D203" s="4">
        <v>29.25</v>
      </c>
      <c r="E203" s="4">
        <v>0.88200000000000001</v>
      </c>
      <c r="F203" s="4">
        <v>0.69299999999999995</v>
      </c>
      <c r="G203" s="4">
        <v>0.38</v>
      </c>
      <c r="H203" s="4">
        <v>0.69099999999999995</v>
      </c>
      <c r="I203" t="s">
        <v>891</v>
      </c>
      <c r="J203" t="s">
        <v>506</v>
      </c>
      <c r="K203" t="s">
        <v>1100</v>
      </c>
      <c r="L203" t="s">
        <v>488</v>
      </c>
    </row>
    <row r="204" spans="1:12" x14ac:dyDescent="0.3">
      <c r="A204" t="s">
        <v>270</v>
      </c>
      <c r="B204" t="s">
        <v>355</v>
      </c>
      <c r="C204" t="s">
        <v>896</v>
      </c>
      <c r="D204" s="4">
        <v>15.2</v>
      </c>
      <c r="E204" s="4">
        <v>0.745</v>
      </c>
      <c r="F204" s="4">
        <v>0.83199999999999996</v>
      </c>
      <c r="G204" s="4">
        <v>0.56299999999999994</v>
      </c>
      <c r="H204" s="4">
        <v>0.72499999999999998</v>
      </c>
      <c r="I204" t="s">
        <v>891</v>
      </c>
      <c r="J204" t="s">
        <v>892</v>
      </c>
      <c r="K204" t="s">
        <v>1101</v>
      </c>
      <c r="L204" t="s">
        <v>488</v>
      </c>
    </row>
    <row r="205" spans="1:12" x14ac:dyDescent="0.3">
      <c r="A205" t="s">
        <v>270</v>
      </c>
      <c r="B205" t="s">
        <v>284</v>
      </c>
      <c r="C205" t="s">
        <v>896</v>
      </c>
      <c r="D205" s="4">
        <v>23.41</v>
      </c>
      <c r="E205" s="4">
        <v>0.6</v>
      </c>
      <c r="F205" s="4">
        <v>0.73699999999999999</v>
      </c>
      <c r="G205" s="4">
        <v>0.67900000000000005</v>
      </c>
      <c r="H205" s="4">
        <v>0.66500000000000004</v>
      </c>
      <c r="I205" t="s">
        <v>891</v>
      </c>
      <c r="J205" t="s">
        <v>892</v>
      </c>
      <c r="K205" t="s">
        <v>1102</v>
      </c>
      <c r="L205" t="s">
        <v>488</v>
      </c>
    </row>
    <row r="206" spans="1:12" x14ac:dyDescent="0.3">
      <c r="A206" t="s">
        <v>270</v>
      </c>
      <c r="B206" t="s">
        <v>339</v>
      </c>
      <c r="C206" t="s">
        <v>896</v>
      </c>
      <c r="D206" s="4">
        <v>36.33</v>
      </c>
      <c r="E206" s="4">
        <v>0.44500000000000001</v>
      </c>
      <c r="F206" s="4">
        <v>0.73899999999999999</v>
      </c>
      <c r="G206" s="4">
        <v>0.69699999999999995</v>
      </c>
      <c r="H206" s="4">
        <v>0.60499999999999998</v>
      </c>
      <c r="I206" t="s">
        <v>891</v>
      </c>
      <c r="J206" t="s">
        <v>892</v>
      </c>
      <c r="K206" t="s">
        <v>1103</v>
      </c>
      <c r="L206" t="s">
        <v>488</v>
      </c>
    </row>
    <row r="207" spans="1:12" x14ac:dyDescent="0.3">
      <c r="A207" t="s">
        <v>270</v>
      </c>
      <c r="B207" t="s">
        <v>337</v>
      </c>
      <c r="C207" t="s">
        <v>912</v>
      </c>
      <c r="D207" s="4">
        <v>23.53</v>
      </c>
      <c r="E207" s="4">
        <v>0.82199999999999995</v>
      </c>
      <c r="F207" s="4">
        <v>0.26700000000000002</v>
      </c>
      <c r="G207" s="4">
        <v>0.41699999999999998</v>
      </c>
      <c r="H207" s="4">
        <v>0.53900000000000003</v>
      </c>
      <c r="I207" t="s">
        <v>907</v>
      </c>
      <c r="J207" t="s">
        <v>48</v>
      </c>
      <c r="K207" t="s">
        <v>1104</v>
      </c>
      <c r="L207" t="s">
        <v>488</v>
      </c>
    </row>
    <row r="208" spans="1:12" x14ac:dyDescent="0.3">
      <c r="A208" t="s">
        <v>274</v>
      </c>
      <c r="B208" t="s">
        <v>345</v>
      </c>
      <c r="C208" t="s">
        <v>896</v>
      </c>
      <c r="D208" s="4">
        <v>21.76</v>
      </c>
      <c r="E208" s="4">
        <v>0.72599999999999998</v>
      </c>
      <c r="F208" s="4">
        <v>0.76200000000000001</v>
      </c>
      <c r="G208" s="4">
        <v>0.73899999999999999</v>
      </c>
      <c r="H208" s="4">
        <v>0.74099999999999999</v>
      </c>
      <c r="I208" t="s">
        <v>891</v>
      </c>
      <c r="J208" t="s">
        <v>48</v>
      </c>
      <c r="K208" t="s">
        <v>1105</v>
      </c>
      <c r="L208" t="s">
        <v>488</v>
      </c>
    </row>
    <row r="209" spans="1:12" x14ac:dyDescent="0.3">
      <c r="A209" t="s">
        <v>274</v>
      </c>
      <c r="B209" t="s">
        <v>281</v>
      </c>
      <c r="C209" t="s">
        <v>896</v>
      </c>
      <c r="D209" s="4">
        <v>23.65</v>
      </c>
      <c r="E209" s="4">
        <v>0.75700000000000001</v>
      </c>
      <c r="F209" s="4">
        <v>0.78700000000000003</v>
      </c>
      <c r="G209" s="4">
        <v>0.71599999999999997</v>
      </c>
      <c r="H209" s="4">
        <v>0.75600000000000001</v>
      </c>
      <c r="I209" t="s">
        <v>891</v>
      </c>
      <c r="J209" t="s">
        <v>48</v>
      </c>
      <c r="K209" t="s">
        <v>1106</v>
      </c>
      <c r="L209" t="s">
        <v>488</v>
      </c>
    </row>
    <row r="210" spans="1:12" x14ac:dyDescent="0.3">
      <c r="A210" t="s">
        <v>274</v>
      </c>
      <c r="B210" t="s">
        <v>315</v>
      </c>
      <c r="C210" t="s">
        <v>912</v>
      </c>
      <c r="D210" s="4">
        <v>9.14</v>
      </c>
      <c r="E210" s="4">
        <v>0.79200000000000004</v>
      </c>
      <c r="F210" s="4">
        <v>0.38400000000000001</v>
      </c>
      <c r="G210" s="4">
        <v>0.58299999999999996</v>
      </c>
      <c r="H210" s="4">
        <v>0.60699999999999998</v>
      </c>
      <c r="I210" t="s">
        <v>907</v>
      </c>
      <c r="J210" t="s">
        <v>892</v>
      </c>
      <c r="K210" t="s">
        <v>1107</v>
      </c>
      <c r="L210" t="s">
        <v>488</v>
      </c>
    </row>
    <row r="211" spans="1:12" x14ac:dyDescent="0.3">
      <c r="A211" t="s">
        <v>274</v>
      </c>
      <c r="B211" t="s">
        <v>349</v>
      </c>
      <c r="C211" t="s">
        <v>906</v>
      </c>
      <c r="D211" s="4">
        <v>18.45</v>
      </c>
      <c r="E211" s="4">
        <v>0.79600000000000004</v>
      </c>
      <c r="F211" s="4">
        <v>0.34</v>
      </c>
      <c r="G211" s="4">
        <v>0.50600000000000001</v>
      </c>
      <c r="H211" s="4">
        <v>0.57499999999999996</v>
      </c>
      <c r="I211" t="s">
        <v>907</v>
      </c>
      <c r="J211" t="s">
        <v>928</v>
      </c>
      <c r="K211" t="s">
        <v>1108</v>
      </c>
      <c r="L211" t="s">
        <v>488</v>
      </c>
    </row>
    <row r="212" spans="1:12" x14ac:dyDescent="0.3">
      <c r="A212" t="s">
        <v>281</v>
      </c>
      <c r="B212" t="s">
        <v>345</v>
      </c>
      <c r="C212" t="s">
        <v>896</v>
      </c>
      <c r="D212" s="4">
        <v>15.77</v>
      </c>
      <c r="E212" s="4">
        <v>0.48299999999999998</v>
      </c>
      <c r="F212" s="4">
        <v>0.81200000000000006</v>
      </c>
      <c r="G212" s="4">
        <v>0.745</v>
      </c>
      <c r="H212" s="4">
        <v>0.65600000000000003</v>
      </c>
      <c r="I212" t="s">
        <v>891</v>
      </c>
      <c r="J212" t="s">
        <v>48</v>
      </c>
      <c r="K212" t="s">
        <v>1109</v>
      </c>
      <c r="L212" t="s">
        <v>488</v>
      </c>
    </row>
    <row r="213" spans="1:12" x14ac:dyDescent="0.3">
      <c r="A213" t="s">
        <v>281</v>
      </c>
      <c r="B213" t="s">
        <v>347</v>
      </c>
      <c r="C213" t="s">
        <v>912</v>
      </c>
      <c r="D213" s="4">
        <v>5.6</v>
      </c>
      <c r="E213" s="4">
        <v>0.221</v>
      </c>
      <c r="F213" s="4">
        <v>0.40100000000000002</v>
      </c>
      <c r="G213" s="4">
        <v>0.79500000000000004</v>
      </c>
      <c r="H213" s="4">
        <v>0.42799999999999999</v>
      </c>
      <c r="I213" t="s">
        <v>907</v>
      </c>
      <c r="J213" t="s">
        <v>892</v>
      </c>
      <c r="K213" t="s">
        <v>1110</v>
      </c>
      <c r="L213" t="s">
        <v>488</v>
      </c>
    </row>
    <row r="214" spans="1:12" x14ac:dyDescent="0.3">
      <c r="A214" t="s">
        <v>281</v>
      </c>
      <c r="B214" t="s">
        <v>351</v>
      </c>
      <c r="C214" t="s">
        <v>896</v>
      </c>
      <c r="D214" s="4">
        <v>26.97</v>
      </c>
      <c r="E214" s="4">
        <v>0.77300000000000002</v>
      </c>
      <c r="F214" s="4">
        <v>0.747</v>
      </c>
      <c r="G214" s="4">
        <v>0.44</v>
      </c>
      <c r="H214" s="4">
        <v>0.67800000000000005</v>
      </c>
      <c r="I214" t="s">
        <v>891</v>
      </c>
      <c r="J214" t="s">
        <v>48</v>
      </c>
      <c r="K214" t="s">
        <v>1111</v>
      </c>
      <c r="L214" t="s">
        <v>488</v>
      </c>
    </row>
    <row r="215" spans="1:12" x14ac:dyDescent="0.3">
      <c r="A215" t="s">
        <v>284</v>
      </c>
      <c r="B215" t="s">
        <v>355</v>
      </c>
      <c r="C215" t="s">
        <v>896</v>
      </c>
      <c r="D215" s="4">
        <v>16.72</v>
      </c>
      <c r="E215" s="4">
        <v>0.85499999999999998</v>
      </c>
      <c r="F215" s="4">
        <v>0.82299999999999995</v>
      </c>
      <c r="G215" s="4">
        <v>0.495</v>
      </c>
      <c r="H215" s="4">
        <v>0.751</v>
      </c>
      <c r="I215" t="s">
        <v>891</v>
      </c>
      <c r="J215" t="s">
        <v>506</v>
      </c>
      <c r="K215" t="s">
        <v>1112</v>
      </c>
      <c r="L215" t="s">
        <v>488</v>
      </c>
    </row>
    <row r="216" spans="1:12" x14ac:dyDescent="0.3">
      <c r="A216" t="s">
        <v>284</v>
      </c>
      <c r="B216" t="s">
        <v>325</v>
      </c>
      <c r="C216" t="s">
        <v>896</v>
      </c>
      <c r="D216" s="4">
        <v>19.16</v>
      </c>
      <c r="E216" s="4">
        <v>0.70899999999999996</v>
      </c>
      <c r="F216" s="4">
        <v>0.72499999999999998</v>
      </c>
      <c r="G216" s="4">
        <v>0.60299999999999998</v>
      </c>
      <c r="H216" s="4">
        <v>0.68700000000000006</v>
      </c>
      <c r="I216" t="s">
        <v>891</v>
      </c>
      <c r="J216" t="s">
        <v>892</v>
      </c>
      <c r="K216" t="s">
        <v>1113</v>
      </c>
      <c r="L216" t="s">
        <v>488</v>
      </c>
    </row>
    <row r="217" spans="1:12" x14ac:dyDescent="0.3">
      <c r="A217" t="s">
        <v>284</v>
      </c>
      <c r="B217" t="s">
        <v>307</v>
      </c>
      <c r="C217" t="s">
        <v>912</v>
      </c>
      <c r="D217" s="4">
        <v>4.1900000000000004</v>
      </c>
      <c r="E217" s="4">
        <v>0.56999999999999995</v>
      </c>
      <c r="F217" s="4">
        <v>0.47299999999999998</v>
      </c>
      <c r="G217" s="4">
        <v>0.66100000000000003</v>
      </c>
      <c r="H217" s="4">
        <v>0.56299999999999994</v>
      </c>
      <c r="I217" t="s">
        <v>907</v>
      </c>
      <c r="J217" t="s">
        <v>892</v>
      </c>
      <c r="K217" t="s">
        <v>1114</v>
      </c>
      <c r="L217" t="s">
        <v>488</v>
      </c>
    </row>
    <row r="218" spans="1:12" x14ac:dyDescent="0.3">
      <c r="A218" t="s">
        <v>286</v>
      </c>
      <c r="B218" t="s">
        <v>353</v>
      </c>
      <c r="C218" t="s">
        <v>912</v>
      </c>
      <c r="D218" s="4">
        <v>6.46</v>
      </c>
      <c r="E218" s="4">
        <v>0.79300000000000004</v>
      </c>
      <c r="F218" s="4">
        <v>0.40500000000000003</v>
      </c>
      <c r="G218" s="4">
        <v>0.752</v>
      </c>
      <c r="H218" s="4">
        <v>0.65800000000000003</v>
      </c>
      <c r="I218" t="s">
        <v>907</v>
      </c>
      <c r="J218" t="s">
        <v>892</v>
      </c>
      <c r="K218" t="s">
        <v>1115</v>
      </c>
      <c r="L218" t="s">
        <v>488</v>
      </c>
    </row>
    <row r="219" spans="1:12" x14ac:dyDescent="0.3">
      <c r="A219" t="s">
        <v>286</v>
      </c>
      <c r="B219" t="s">
        <v>341</v>
      </c>
      <c r="C219" t="s">
        <v>896</v>
      </c>
      <c r="D219" s="4">
        <v>32.369999999999997</v>
      </c>
      <c r="E219" s="4">
        <v>0.78800000000000003</v>
      </c>
      <c r="F219" s="4">
        <v>0.73</v>
      </c>
      <c r="G219" s="4">
        <v>0.38400000000000001</v>
      </c>
      <c r="H219" s="4">
        <v>0.66500000000000004</v>
      </c>
      <c r="I219" t="s">
        <v>891</v>
      </c>
      <c r="J219" t="s">
        <v>928</v>
      </c>
      <c r="K219" t="s">
        <v>1116</v>
      </c>
      <c r="L219" t="s">
        <v>488</v>
      </c>
    </row>
    <row r="220" spans="1:12" x14ac:dyDescent="0.3">
      <c r="A220" t="s">
        <v>286</v>
      </c>
      <c r="B220" t="s">
        <v>289</v>
      </c>
      <c r="C220" t="s">
        <v>912</v>
      </c>
      <c r="D220" s="4">
        <v>21.49</v>
      </c>
      <c r="E220" s="4">
        <v>0.627</v>
      </c>
      <c r="F220" s="4">
        <v>0.311</v>
      </c>
      <c r="G220" s="4">
        <v>0.67800000000000005</v>
      </c>
      <c r="H220" s="4">
        <v>0.53900000000000003</v>
      </c>
      <c r="I220" t="s">
        <v>907</v>
      </c>
      <c r="J220" t="s">
        <v>48</v>
      </c>
      <c r="K220" t="s">
        <v>1117</v>
      </c>
      <c r="L220" t="s">
        <v>488</v>
      </c>
    </row>
    <row r="221" spans="1:12" x14ac:dyDescent="0.3">
      <c r="A221" t="s">
        <v>286</v>
      </c>
      <c r="B221" t="s">
        <v>311</v>
      </c>
      <c r="C221" t="s">
        <v>896</v>
      </c>
      <c r="D221" s="4">
        <v>39.33</v>
      </c>
      <c r="E221" s="4">
        <v>0.66600000000000004</v>
      </c>
      <c r="F221" s="4">
        <v>0.71199999999999997</v>
      </c>
      <c r="G221" s="4">
        <v>0.627</v>
      </c>
      <c r="H221" s="4">
        <v>0.67100000000000004</v>
      </c>
      <c r="I221" t="s">
        <v>891</v>
      </c>
      <c r="J221" t="s">
        <v>928</v>
      </c>
      <c r="K221" t="s">
        <v>1118</v>
      </c>
      <c r="L221" t="s">
        <v>488</v>
      </c>
    </row>
    <row r="222" spans="1:12" x14ac:dyDescent="0.3">
      <c r="A222" t="s">
        <v>289</v>
      </c>
      <c r="B222" t="s">
        <v>353</v>
      </c>
      <c r="C222" t="s">
        <v>896</v>
      </c>
      <c r="D222" s="4">
        <v>16.34</v>
      </c>
      <c r="E222" s="4">
        <v>0.61599999999999999</v>
      </c>
      <c r="F222" s="4">
        <v>0.85099999999999998</v>
      </c>
      <c r="G222" s="4">
        <v>0.58099999999999996</v>
      </c>
      <c r="H222" s="4">
        <v>0.68200000000000005</v>
      </c>
      <c r="I222" t="s">
        <v>891</v>
      </c>
      <c r="J222" t="s">
        <v>892</v>
      </c>
      <c r="K222" t="s">
        <v>1119</v>
      </c>
      <c r="L222" t="s">
        <v>488</v>
      </c>
    </row>
    <row r="223" spans="1:12" x14ac:dyDescent="0.3">
      <c r="A223" t="s">
        <v>289</v>
      </c>
      <c r="B223" t="s">
        <v>345</v>
      </c>
      <c r="C223" t="s">
        <v>896</v>
      </c>
      <c r="D223" s="4">
        <v>24.8</v>
      </c>
      <c r="E223" s="4">
        <v>0.54</v>
      </c>
      <c r="F223" s="4">
        <v>0.79</v>
      </c>
      <c r="G223" s="4">
        <v>0.67400000000000004</v>
      </c>
      <c r="H223" s="4">
        <v>0.65500000000000003</v>
      </c>
      <c r="I223" t="s">
        <v>891</v>
      </c>
      <c r="J223" t="s">
        <v>48</v>
      </c>
      <c r="K223" t="s">
        <v>1120</v>
      </c>
      <c r="L223" t="s">
        <v>488</v>
      </c>
    </row>
    <row r="224" spans="1:12" x14ac:dyDescent="0.3">
      <c r="A224" t="s">
        <v>289</v>
      </c>
      <c r="B224" t="s">
        <v>341</v>
      </c>
      <c r="C224" t="s">
        <v>906</v>
      </c>
      <c r="D224" s="4">
        <v>19.989999999999998</v>
      </c>
      <c r="E224" s="4">
        <v>0.69399999999999995</v>
      </c>
      <c r="F224" s="4">
        <v>0.29599999999999999</v>
      </c>
      <c r="G224" s="4">
        <v>0.73599999999999999</v>
      </c>
      <c r="H224" s="4">
        <v>0.57799999999999996</v>
      </c>
      <c r="I224" t="s">
        <v>907</v>
      </c>
      <c r="J224" t="s">
        <v>928</v>
      </c>
      <c r="K224" t="s">
        <v>1121</v>
      </c>
      <c r="L224" t="s">
        <v>488</v>
      </c>
    </row>
    <row r="225" spans="1:12" x14ac:dyDescent="0.3">
      <c r="A225" t="s">
        <v>291</v>
      </c>
      <c r="B225" t="s">
        <v>298</v>
      </c>
      <c r="C225" t="s">
        <v>912</v>
      </c>
      <c r="D225" s="4">
        <v>11.36</v>
      </c>
      <c r="E225" s="4">
        <v>0.81899999999999995</v>
      </c>
      <c r="F225" s="4">
        <v>0.34799999999999998</v>
      </c>
      <c r="G225" s="4">
        <v>0.74199999999999999</v>
      </c>
      <c r="H225" s="4">
        <v>0.64800000000000002</v>
      </c>
      <c r="I225" t="s">
        <v>907</v>
      </c>
      <c r="J225" t="s">
        <v>892</v>
      </c>
      <c r="K225" t="s">
        <v>1122</v>
      </c>
      <c r="L225" t="s">
        <v>488</v>
      </c>
    </row>
    <row r="226" spans="1:12" x14ac:dyDescent="0.3">
      <c r="A226" t="s">
        <v>291</v>
      </c>
      <c r="B226" t="s">
        <v>307</v>
      </c>
      <c r="C226" t="s">
        <v>896</v>
      </c>
      <c r="D226" s="4">
        <v>36.83</v>
      </c>
      <c r="E226" s="4">
        <v>0.42499999999999999</v>
      </c>
      <c r="F226" s="4">
        <v>0.69</v>
      </c>
      <c r="G226" s="4">
        <v>0.69299999999999995</v>
      </c>
      <c r="H226" s="4">
        <v>0.57899999999999996</v>
      </c>
      <c r="I226" t="s">
        <v>891</v>
      </c>
      <c r="J226" t="s">
        <v>892</v>
      </c>
      <c r="K226" t="s">
        <v>1123</v>
      </c>
      <c r="L226" t="s">
        <v>488</v>
      </c>
    </row>
    <row r="227" spans="1:12" x14ac:dyDescent="0.3">
      <c r="A227" t="s">
        <v>291</v>
      </c>
      <c r="B227" t="s">
        <v>343</v>
      </c>
      <c r="C227" t="s">
        <v>896</v>
      </c>
      <c r="D227" s="4">
        <v>40.54</v>
      </c>
      <c r="E227" s="4">
        <v>0.80100000000000005</v>
      </c>
      <c r="F227" s="4">
        <v>0.64800000000000002</v>
      </c>
      <c r="G227" s="4">
        <v>0.61099999999999999</v>
      </c>
      <c r="H227" s="4">
        <v>0.70199999999999996</v>
      </c>
      <c r="I227" t="s">
        <v>891</v>
      </c>
      <c r="J227" t="s">
        <v>892</v>
      </c>
      <c r="K227" t="s">
        <v>1124</v>
      </c>
      <c r="L227" t="s">
        <v>488</v>
      </c>
    </row>
    <row r="228" spans="1:12" x14ac:dyDescent="0.3">
      <c r="A228" t="s">
        <v>291</v>
      </c>
      <c r="B228" t="s">
        <v>339</v>
      </c>
      <c r="C228" t="s">
        <v>912</v>
      </c>
      <c r="D228" s="4">
        <v>25.78</v>
      </c>
      <c r="E228" s="4">
        <v>0.504</v>
      </c>
      <c r="F228" s="4">
        <v>0.309</v>
      </c>
      <c r="G228" s="4">
        <v>0.36</v>
      </c>
      <c r="H228" s="4">
        <v>0.40400000000000003</v>
      </c>
      <c r="I228" t="s">
        <v>907</v>
      </c>
      <c r="J228" t="s">
        <v>506</v>
      </c>
      <c r="K228" t="s">
        <v>1125</v>
      </c>
      <c r="L228" t="s">
        <v>488</v>
      </c>
    </row>
    <row r="229" spans="1:12" x14ac:dyDescent="0.3">
      <c r="A229" t="s">
        <v>295</v>
      </c>
      <c r="B229" t="s">
        <v>351</v>
      </c>
      <c r="C229" t="s">
        <v>890</v>
      </c>
      <c r="D229" s="4">
        <v>7.31</v>
      </c>
      <c r="E229" s="4">
        <v>0.71799999999999997</v>
      </c>
      <c r="F229" s="4">
        <v>0.86499999999999999</v>
      </c>
      <c r="G229" s="4">
        <v>0.71</v>
      </c>
      <c r="H229" s="4">
        <v>0.76300000000000001</v>
      </c>
      <c r="I229" t="s">
        <v>891</v>
      </c>
      <c r="J229" t="s">
        <v>48</v>
      </c>
      <c r="K229" t="s">
        <v>1126</v>
      </c>
      <c r="L229" t="s">
        <v>488</v>
      </c>
    </row>
    <row r="230" spans="1:12" x14ac:dyDescent="0.3">
      <c r="A230" t="s">
        <v>295</v>
      </c>
      <c r="B230" t="s">
        <v>302</v>
      </c>
      <c r="C230" t="s">
        <v>890</v>
      </c>
      <c r="D230" s="4">
        <v>14.33</v>
      </c>
      <c r="E230" s="4">
        <v>0.628</v>
      </c>
      <c r="F230" s="4">
        <v>0.83399999999999996</v>
      </c>
      <c r="G230" s="4">
        <v>0.65900000000000003</v>
      </c>
      <c r="H230" s="4">
        <v>0.70199999999999996</v>
      </c>
      <c r="I230" t="s">
        <v>891</v>
      </c>
      <c r="J230" t="s">
        <v>48</v>
      </c>
      <c r="K230" t="s">
        <v>1127</v>
      </c>
      <c r="L230" t="s">
        <v>488</v>
      </c>
    </row>
    <row r="231" spans="1:12" x14ac:dyDescent="0.3">
      <c r="A231" t="s">
        <v>295</v>
      </c>
      <c r="B231" t="s">
        <v>281</v>
      </c>
      <c r="C231" t="s">
        <v>896</v>
      </c>
      <c r="D231" s="4">
        <v>30.65</v>
      </c>
      <c r="E231" s="4">
        <v>0.876</v>
      </c>
      <c r="F231" s="4">
        <v>0.68100000000000005</v>
      </c>
      <c r="G231" s="4">
        <v>0.71599999999999997</v>
      </c>
      <c r="H231" s="4">
        <v>0.77200000000000002</v>
      </c>
      <c r="I231" t="s">
        <v>891</v>
      </c>
      <c r="J231" t="s">
        <v>48</v>
      </c>
      <c r="K231" t="s">
        <v>1128</v>
      </c>
      <c r="L231" t="s">
        <v>488</v>
      </c>
    </row>
    <row r="232" spans="1:12" x14ac:dyDescent="0.3">
      <c r="A232" t="s">
        <v>295</v>
      </c>
      <c r="B232" t="s">
        <v>305</v>
      </c>
      <c r="C232" t="s">
        <v>906</v>
      </c>
      <c r="D232" s="4">
        <v>19.8</v>
      </c>
      <c r="E232" s="4">
        <v>0.71299999999999997</v>
      </c>
      <c r="F232" s="4">
        <v>0.27700000000000002</v>
      </c>
      <c r="G232" s="4">
        <v>0.66400000000000003</v>
      </c>
      <c r="H232" s="4">
        <v>0.56100000000000005</v>
      </c>
      <c r="I232" t="s">
        <v>907</v>
      </c>
      <c r="J232" t="s">
        <v>48</v>
      </c>
      <c r="K232" t="s">
        <v>1129</v>
      </c>
      <c r="L232" t="s">
        <v>488</v>
      </c>
    </row>
    <row r="233" spans="1:12" x14ac:dyDescent="0.3">
      <c r="A233" t="s">
        <v>298</v>
      </c>
      <c r="B233" t="s">
        <v>339</v>
      </c>
      <c r="C233" t="s">
        <v>890</v>
      </c>
      <c r="D233" s="4">
        <v>14.96</v>
      </c>
      <c r="E233" s="4">
        <v>0.52500000000000002</v>
      </c>
      <c r="F233" s="4">
        <v>0.82199999999999995</v>
      </c>
      <c r="G233" s="4">
        <v>0.745</v>
      </c>
      <c r="H233" s="4">
        <v>0.67700000000000005</v>
      </c>
      <c r="I233" t="s">
        <v>891</v>
      </c>
      <c r="J233" t="s">
        <v>892</v>
      </c>
      <c r="K233" t="s">
        <v>1130</v>
      </c>
      <c r="L233" t="s">
        <v>488</v>
      </c>
    </row>
    <row r="234" spans="1:12" x14ac:dyDescent="0.3">
      <c r="A234" t="s">
        <v>298</v>
      </c>
      <c r="B234" t="s">
        <v>325</v>
      </c>
      <c r="C234" t="s">
        <v>896</v>
      </c>
      <c r="D234" s="4">
        <v>30.49</v>
      </c>
      <c r="E234" s="4">
        <v>0.93500000000000005</v>
      </c>
      <c r="F234" s="4">
        <v>0.70399999999999996</v>
      </c>
      <c r="G234" s="4">
        <v>0.66900000000000004</v>
      </c>
      <c r="H234" s="4">
        <v>0.79200000000000004</v>
      </c>
      <c r="I234" t="s">
        <v>891</v>
      </c>
      <c r="J234" t="s">
        <v>48</v>
      </c>
      <c r="K234" t="s">
        <v>1131</v>
      </c>
      <c r="L234" t="s">
        <v>488</v>
      </c>
    </row>
    <row r="235" spans="1:12" x14ac:dyDescent="0.3">
      <c r="A235" t="s">
        <v>298</v>
      </c>
      <c r="B235" t="s">
        <v>284</v>
      </c>
      <c r="C235" t="s">
        <v>896</v>
      </c>
      <c r="D235" s="4">
        <v>32.46</v>
      </c>
      <c r="E235" s="4">
        <v>0.68</v>
      </c>
      <c r="F235" s="4">
        <v>0.72199999999999998</v>
      </c>
      <c r="G235" s="4">
        <v>0.52600000000000002</v>
      </c>
      <c r="H235" s="4">
        <v>0.65300000000000002</v>
      </c>
      <c r="I235" t="s">
        <v>891</v>
      </c>
      <c r="J235" t="s">
        <v>892</v>
      </c>
      <c r="K235" t="s">
        <v>1132</v>
      </c>
      <c r="L235" t="s">
        <v>488</v>
      </c>
    </row>
    <row r="236" spans="1:12" x14ac:dyDescent="0.3">
      <c r="A236" t="s">
        <v>300</v>
      </c>
      <c r="B236" t="s">
        <v>309</v>
      </c>
      <c r="C236" t="s">
        <v>896</v>
      </c>
      <c r="D236" s="4">
        <v>15.39</v>
      </c>
      <c r="E236" s="4">
        <v>0.66600000000000004</v>
      </c>
      <c r="F236" s="4">
        <v>0.83399999999999996</v>
      </c>
      <c r="G236" s="4">
        <v>0.628</v>
      </c>
      <c r="H236" s="4">
        <v>0.71</v>
      </c>
      <c r="I236" t="s">
        <v>891</v>
      </c>
      <c r="J236" t="s">
        <v>48</v>
      </c>
      <c r="K236" t="s">
        <v>1133</v>
      </c>
      <c r="L236" t="s">
        <v>488</v>
      </c>
    </row>
    <row r="237" spans="1:12" x14ac:dyDescent="0.3">
      <c r="A237" t="s">
        <v>300</v>
      </c>
      <c r="B237" t="s">
        <v>337</v>
      </c>
      <c r="C237" t="s">
        <v>896</v>
      </c>
      <c r="D237" s="4">
        <v>22.25</v>
      </c>
      <c r="E237" s="4">
        <v>0.89600000000000002</v>
      </c>
      <c r="F237" s="4">
        <v>0.8</v>
      </c>
      <c r="G237" s="4">
        <v>0.52</v>
      </c>
      <c r="H237" s="4">
        <v>0.76800000000000002</v>
      </c>
      <c r="I237" t="s">
        <v>891</v>
      </c>
      <c r="J237" t="s">
        <v>48</v>
      </c>
      <c r="K237" t="s">
        <v>1134</v>
      </c>
      <c r="L237" t="s">
        <v>488</v>
      </c>
    </row>
    <row r="238" spans="1:12" x14ac:dyDescent="0.3">
      <c r="A238" t="s">
        <v>300</v>
      </c>
      <c r="B238" t="s">
        <v>322</v>
      </c>
      <c r="C238" t="s">
        <v>896</v>
      </c>
      <c r="D238" s="4">
        <v>23.7</v>
      </c>
      <c r="E238" s="4">
        <v>0.61499999999999999</v>
      </c>
      <c r="F238" s="4">
        <v>0.746</v>
      </c>
      <c r="G238" s="4">
        <v>0.68300000000000005</v>
      </c>
      <c r="H238" s="4">
        <v>0.67400000000000004</v>
      </c>
      <c r="I238" t="s">
        <v>891</v>
      </c>
      <c r="J238" t="s">
        <v>892</v>
      </c>
      <c r="K238" t="s">
        <v>1135</v>
      </c>
      <c r="L238" t="s">
        <v>488</v>
      </c>
    </row>
    <row r="239" spans="1:12" x14ac:dyDescent="0.3">
      <c r="A239" t="s">
        <v>300</v>
      </c>
      <c r="B239" t="s">
        <v>284</v>
      </c>
      <c r="C239" t="s">
        <v>912</v>
      </c>
      <c r="D239" s="4">
        <v>8.99</v>
      </c>
      <c r="E239" s="4">
        <v>0.69799999999999995</v>
      </c>
      <c r="F239" s="4">
        <v>0.40100000000000002</v>
      </c>
      <c r="G239" s="4">
        <v>0.81</v>
      </c>
      <c r="H239" s="4">
        <v>0.63200000000000001</v>
      </c>
      <c r="I239" t="s">
        <v>907</v>
      </c>
      <c r="J239" t="s">
        <v>892</v>
      </c>
      <c r="K239" t="s">
        <v>1136</v>
      </c>
      <c r="L239" t="s">
        <v>488</v>
      </c>
    </row>
    <row r="240" spans="1:12" x14ac:dyDescent="0.3">
      <c r="A240" t="s">
        <v>302</v>
      </c>
      <c r="B240" t="s">
        <v>351</v>
      </c>
      <c r="C240" t="s">
        <v>896</v>
      </c>
      <c r="D240" s="4">
        <v>18.2</v>
      </c>
      <c r="E240" s="4">
        <v>0.91</v>
      </c>
      <c r="F240" s="4">
        <v>0.78500000000000003</v>
      </c>
      <c r="G240" s="4">
        <v>0.40699999999999997</v>
      </c>
      <c r="H240" s="4">
        <v>0.73899999999999999</v>
      </c>
      <c r="I240" t="s">
        <v>891</v>
      </c>
      <c r="J240" t="s">
        <v>48</v>
      </c>
      <c r="K240" t="s">
        <v>1137</v>
      </c>
      <c r="L240" t="s">
        <v>488</v>
      </c>
    </row>
    <row r="241" spans="1:12" x14ac:dyDescent="0.3">
      <c r="A241" t="s">
        <v>302</v>
      </c>
      <c r="B241" t="s">
        <v>343</v>
      </c>
      <c r="C241" t="s">
        <v>896</v>
      </c>
      <c r="D241" s="4">
        <v>27.36</v>
      </c>
      <c r="E241" s="4">
        <v>0.48599999999999999</v>
      </c>
      <c r="F241" s="4">
        <v>0.72499999999999998</v>
      </c>
      <c r="G241" s="4">
        <v>0.70699999999999996</v>
      </c>
      <c r="H241" s="4">
        <v>0.62</v>
      </c>
      <c r="I241" t="s">
        <v>891</v>
      </c>
      <c r="J241" t="s">
        <v>48</v>
      </c>
      <c r="K241" t="s">
        <v>1138</v>
      </c>
      <c r="L241" t="s">
        <v>488</v>
      </c>
    </row>
    <row r="242" spans="1:12" x14ac:dyDescent="0.3">
      <c r="A242" t="s">
        <v>302</v>
      </c>
      <c r="B242" t="s">
        <v>331</v>
      </c>
      <c r="C242" t="s">
        <v>906</v>
      </c>
      <c r="D242" s="4">
        <v>16.260000000000002</v>
      </c>
      <c r="E242" s="4">
        <v>0.54600000000000004</v>
      </c>
      <c r="F242" s="4">
        <v>0.32700000000000001</v>
      </c>
      <c r="G242" s="4">
        <v>0.47599999999999998</v>
      </c>
      <c r="H242" s="4">
        <v>0.45800000000000002</v>
      </c>
      <c r="I242" t="s">
        <v>907</v>
      </c>
      <c r="J242" t="s">
        <v>48</v>
      </c>
      <c r="K242" t="s">
        <v>1139</v>
      </c>
      <c r="L242" t="s">
        <v>488</v>
      </c>
    </row>
    <row r="243" spans="1:12" x14ac:dyDescent="0.3">
      <c r="A243" t="s">
        <v>305</v>
      </c>
      <c r="B243" t="s">
        <v>349</v>
      </c>
      <c r="C243" t="s">
        <v>896</v>
      </c>
      <c r="D243" s="4">
        <v>23.2</v>
      </c>
      <c r="E243" s="4">
        <v>0.67</v>
      </c>
      <c r="F243" s="4">
        <v>0.81</v>
      </c>
      <c r="G243" s="4">
        <v>0.69099999999999995</v>
      </c>
      <c r="H243" s="4">
        <v>0.72</v>
      </c>
      <c r="I243" t="s">
        <v>891</v>
      </c>
      <c r="J243" t="s">
        <v>928</v>
      </c>
      <c r="K243" t="s">
        <v>1140</v>
      </c>
      <c r="L243" t="s">
        <v>488</v>
      </c>
    </row>
    <row r="244" spans="1:12" x14ac:dyDescent="0.3">
      <c r="A244" t="s">
        <v>305</v>
      </c>
      <c r="B244" t="s">
        <v>315</v>
      </c>
      <c r="C244" t="s">
        <v>912</v>
      </c>
      <c r="D244" s="4">
        <v>12.78</v>
      </c>
      <c r="E244" s="4">
        <v>0.56000000000000005</v>
      </c>
      <c r="F244" s="4">
        <v>0.374</v>
      </c>
      <c r="G244" s="4">
        <v>0.77800000000000002</v>
      </c>
      <c r="H244" s="4">
        <v>0.55700000000000005</v>
      </c>
      <c r="I244" t="s">
        <v>907</v>
      </c>
      <c r="J244" t="s">
        <v>892</v>
      </c>
      <c r="K244" t="s">
        <v>1141</v>
      </c>
      <c r="L244" t="s">
        <v>488</v>
      </c>
    </row>
    <row r="245" spans="1:12" x14ac:dyDescent="0.3">
      <c r="A245" t="s">
        <v>305</v>
      </c>
      <c r="B245" t="s">
        <v>313</v>
      </c>
      <c r="C245" t="s">
        <v>912</v>
      </c>
      <c r="D245" s="4">
        <v>18.48</v>
      </c>
      <c r="E245" s="4">
        <v>0.81899999999999995</v>
      </c>
      <c r="F245" s="4">
        <v>0.32900000000000001</v>
      </c>
      <c r="G245" s="4">
        <v>0.54100000000000004</v>
      </c>
      <c r="H245" s="4">
        <v>0.59</v>
      </c>
      <c r="I245" t="s">
        <v>907</v>
      </c>
      <c r="J245" t="s">
        <v>48</v>
      </c>
      <c r="K245" t="s">
        <v>1142</v>
      </c>
      <c r="L245" t="s">
        <v>488</v>
      </c>
    </row>
    <row r="246" spans="1:12" x14ac:dyDescent="0.3">
      <c r="A246" t="s">
        <v>307</v>
      </c>
      <c r="B246" t="s">
        <v>300</v>
      </c>
      <c r="C246" t="s">
        <v>906</v>
      </c>
      <c r="D246" s="4">
        <v>10.44</v>
      </c>
      <c r="E246" s="4">
        <v>0.65600000000000003</v>
      </c>
      <c r="F246" s="4">
        <v>0.38400000000000001</v>
      </c>
      <c r="G246" s="4">
        <v>0.67600000000000005</v>
      </c>
      <c r="H246" s="4">
        <v>0.57399999999999995</v>
      </c>
      <c r="I246" t="s">
        <v>907</v>
      </c>
      <c r="J246" t="s">
        <v>48</v>
      </c>
      <c r="K246" t="s">
        <v>1143</v>
      </c>
      <c r="L246" t="s">
        <v>488</v>
      </c>
    </row>
    <row r="247" spans="1:12" x14ac:dyDescent="0.3">
      <c r="A247" t="s">
        <v>307</v>
      </c>
      <c r="B247" t="s">
        <v>309</v>
      </c>
      <c r="C247" t="s">
        <v>906</v>
      </c>
      <c r="D247" s="4">
        <v>11.67</v>
      </c>
      <c r="E247" s="4">
        <v>0.40600000000000003</v>
      </c>
      <c r="F247" s="4">
        <v>0.4</v>
      </c>
      <c r="G247" s="4">
        <v>0.48699999999999999</v>
      </c>
      <c r="H247" s="4">
        <v>0.42499999999999999</v>
      </c>
      <c r="I247" t="s">
        <v>907</v>
      </c>
      <c r="J247" t="s">
        <v>48</v>
      </c>
      <c r="K247" t="s">
        <v>1144</v>
      </c>
      <c r="L247" t="s">
        <v>488</v>
      </c>
    </row>
    <row r="248" spans="1:12" x14ac:dyDescent="0.3">
      <c r="A248" t="s">
        <v>307</v>
      </c>
      <c r="B248" t="s">
        <v>337</v>
      </c>
      <c r="C248" t="s">
        <v>912</v>
      </c>
      <c r="D248" s="4">
        <v>12.6</v>
      </c>
      <c r="E248" s="4">
        <v>0.68600000000000005</v>
      </c>
      <c r="F248" s="4">
        <v>0.34300000000000003</v>
      </c>
      <c r="G248" s="4">
        <v>0.65400000000000003</v>
      </c>
      <c r="H248" s="4">
        <v>0.56799999999999995</v>
      </c>
      <c r="I248" t="s">
        <v>907</v>
      </c>
      <c r="J248" t="s">
        <v>48</v>
      </c>
      <c r="K248" t="s">
        <v>1145</v>
      </c>
      <c r="L248" t="s">
        <v>488</v>
      </c>
    </row>
    <row r="249" spans="1:12" x14ac:dyDescent="0.3">
      <c r="A249" t="s">
        <v>309</v>
      </c>
      <c r="B249" t="s">
        <v>322</v>
      </c>
      <c r="C249" t="s">
        <v>890</v>
      </c>
      <c r="D249" s="4">
        <v>9.2899999999999991</v>
      </c>
      <c r="E249" s="4">
        <v>0.67600000000000005</v>
      </c>
      <c r="F249" s="4">
        <v>0.85299999999999998</v>
      </c>
      <c r="G249" s="4">
        <v>0.76700000000000002</v>
      </c>
      <c r="H249" s="4">
        <v>0.75600000000000001</v>
      </c>
      <c r="I249" t="s">
        <v>891</v>
      </c>
      <c r="J249" t="s">
        <v>892</v>
      </c>
      <c r="K249" t="s">
        <v>1146</v>
      </c>
      <c r="L249" t="s">
        <v>488</v>
      </c>
    </row>
    <row r="250" spans="1:12" x14ac:dyDescent="0.3">
      <c r="A250" t="s">
        <v>309</v>
      </c>
      <c r="B250" t="s">
        <v>325</v>
      </c>
      <c r="C250" t="s">
        <v>912</v>
      </c>
      <c r="D250" s="4">
        <v>3.83</v>
      </c>
      <c r="E250" s="4">
        <v>0.65400000000000003</v>
      </c>
      <c r="F250" s="4">
        <v>0.41</v>
      </c>
      <c r="G250" s="4">
        <v>0.84899999999999998</v>
      </c>
      <c r="H250" s="4">
        <v>0.627</v>
      </c>
      <c r="I250" t="s">
        <v>907</v>
      </c>
      <c r="J250" t="s">
        <v>48</v>
      </c>
      <c r="K250" t="s">
        <v>1147</v>
      </c>
      <c r="L250" t="s">
        <v>488</v>
      </c>
    </row>
    <row r="251" spans="1:12" x14ac:dyDescent="0.3">
      <c r="A251" t="s">
        <v>309</v>
      </c>
      <c r="B251" t="s">
        <v>337</v>
      </c>
      <c r="C251" t="s">
        <v>896</v>
      </c>
      <c r="D251" s="4">
        <v>21.24</v>
      </c>
      <c r="E251" s="4">
        <v>0.58499999999999996</v>
      </c>
      <c r="F251" s="4">
        <v>0.79</v>
      </c>
      <c r="G251" s="4">
        <v>0.57699999999999996</v>
      </c>
      <c r="H251" s="4">
        <v>0.64900000000000002</v>
      </c>
      <c r="I251" t="s">
        <v>891</v>
      </c>
      <c r="J251" t="s">
        <v>48</v>
      </c>
      <c r="K251" t="s">
        <v>1148</v>
      </c>
      <c r="L251" t="s">
        <v>488</v>
      </c>
    </row>
    <row r="252" spans="1:12" x14ac:dyDescent="0.3">
      <c r="A252" t="s">
        <v>311</v>
      </c>
      <c r="B252" t="s">
        <v>327</v>
      </c>
      <c r="C252" t="s">
        <v>890</v>
      </c>
      <c r="D252" s="4">
        <v>7.01</v>
      </c>
      <c r="E252" s="4">
        <v>0.81799999999999995</v>
      </c>
      <c r="F252" s="4">
        <v>0.84399999999999997</v>
      </c>
      <c r="G252" s="4">
        <v>0.80100000000000005</v>
      </c>
      <c r="H252" s="4">
        <v>0.82199999999999995</v>
      </c>
      <c r="I252" t="s">
        <v>891</v>
      </c>
      <c r="J252" t="s">
        <v>928</v>
      </c>
      <c r="K252" t="s">
        <v>1149</v>
      </c>
      <c r="L252" t="s">
        <v>488</v>
      </c>
    </row>
    <row r="253" spans="1:12" x14ac:dyDescent="0.3">
      <c r="A253" t="s">
        <v>311</v>
      </c>
      <c r="B253" t="s">
        <v>318</v>
      </c>
      <c r="C253" t="s">
        <v>906</v>
      </c>
      <c r="D253" s="4">
        <v>2.54</v>
      </c>
      <c r="E253" s="4">
        <v>0.71399999999999997</v>
      </c>
      <c r="F253" s="4">
        <v>0.44400000000000001</v>
      </c>
      <c r="G253" s="4">
        <v>0.83499999999999996</v>
      </c>
      <c r="H253" s="4">
        <v>0.65900000000000003</v>
      </c>
      <c r="I253" t="s">
        <v>907</v>
      </c>
      <c r="J253" t="s">
        <v>733</v>
      </c>
      <c r="K253" t="s">
        <v>1150</v>
      </c>
      <c r="L253" t="s">
        <v>488</v>
      </c>
    </row>
    <row r="254" spans="1:12" x14ac:dyDescent="0.3">
      <c r="A254" t="s">
        <v>311</v>
      </c>
      <c r="B254" t="s">
        <v>353</v>
      </c>
      <c r="C254" t="s">
        <v>912</v>
      </c>
      <c r="D254" s="4">
        <v>37.229999999999997</v>
      </c>
      <c r="E254" s="4">
        <v>0.45900000000000002</v>
      </c>
      <c r="F254" s="4">
        <v>0.28100000000000003</v>
      </c>
      <c r="G254" s="4">
        <v>0.52800000000000002</v>
      </c>
      <c r="H254" s="4">
        <v>0.42</v>
      </c>
      <c r="I254" t="s">
        <v>907</v>
      </c>
      <c r="J254" t="s">
        <v>892</v>
      </c>
      <c r="K254" t="s">
        <v>1151</v>
      </c>
      <c r="L254" t="s">
        <v>488</v>
      </c>
    </row>
    <row r="255" spans="1:12" x14ac:dyDescent="0.3">
      <c r="A255" t="s">
        <v>313</v>
      </c>
      <c r="B255" t="s">
        <v>315</v>
      </c>
      <c r="C255" t="s">
        <v>890</v>
      </c>
      <c r="D255" s="4">
        <v>13.75</v>
      </c>
      <c r="E255" s="4">
        <v>0.72699999999999998</v>
      </c>
      <c r="F255" s="4">
        <v>0.81699999999999995</v>
      </c>
      <c r="G255" s="4">
        <v>0.67500000000000004</v>
      </c>
      <c r="H255" s="4">
        <v>0.74199999999999999</v>
      </c>
      <c r="I255" t="s">
        <v>891</v>
      </c>
      <c r="J255" t="s">
        <v>892</v>
      </c>
      <c r="K255" t="s">
        <v>1152</v>
      </c>
      <c r="L255" t="s">
        <v>488</v>
      </c>
    </row>
    <row r="256" spans="1:12" x14ac:dyDescent="0.3">
      <c r="A256" t="s">
        <v>313</v>
      </c>
      <c r="B256" t="s">
        <v>349</v>
      </c>
      <c r="C256" t="s">
        <v>906</v>
      </c>
      <c r="D256" s="4">
        <v>7.82</v>
      </c>
      <c r="E256" s="4">
        <v>0.85099999999999998</v>
      </c>
      <c r="F256" s="4">
        <v>0.40400000000000003</v>
      </c>
      <c r="G256" s="4">
        <v>0.72799999999999998</v>
      </c>
      <c r="H256" s="4">
        <v>0.67600000000000005</v>
      </c>
      <c r="I256" t="s">
        <v>907</v>
      </c>
      <c r="J256" t="s">
        <v>928</v>
      </c>
      <c r="K256" t="s">
        <v>1153</v>
      </c>
      <c r="L256" t="s">
        <v>488</v>
      </c>
    </row>
    <row r="257" spans="1:12" x14ac:dyDescent="0.3">
      <c r="A257" t="s">
        <v>313</v>
      </c>
      <c r="B257" t="s">
        <v>274</v>
      </c>
      <c r="C257" t="s">
        <v>912</v>
      </c>
      <c r="D257" s="4">
        <v>21.42</v>
      </c>
      <c r="E257" s="4">
        <v>0.77700000000000002</v>
      </c>
      <c r="F257" s="4">
        <v>0.34399999999999997</v>
      </c>
      <c r="G257" s="4">
        <v>0.66200000000000003</v>
      </c>
      <c r="H257" s="4">
        <v>0.60899999999999999</v>
      </c>
      <c r="I257" t="s">
        <v>907</v>
      </c>
      <c r="J257" t="s">
        <v>48</v>
      </c>
      <c r="K257" t="s">
        <v>1154</v>
      </c>
      <c r="L257" t="s">
        <v>488</v>
      </c>
    </row>
    <row r="258" spans="1:12" x14ac:dyDescent="0.3">
      <c r="A258" t="s">
        <v>315</v>
      </c>
      <c r="B258" t="s">
        <v>347</v>
      </c>
      <c r="C258" t="s">
        <v>896</v>
      </c>
      <c r="D258" s="4">
        <v>26.34</v>
      </c>
      <c r="E258" s="4">
        <v>0.58599999999999997</v>
      </c>
      <c r="F258" s="4">
        <v>0.76500000000000001</v>
      </c>
      <c r="G258" s="4">
        <v>0.65400000000000003</v>
      </c>
      <c r="H258" s="4">
        <v>0.66100000000000003</v>
      </c>
      <c r="I258" t="s">
        <v>891</v>
      </c>
      <c r="J258" t="s">
        <v>506</v>
      </c>
      <c r="K258" t="s">
        <v>1155</v>
      </c>
      <c r="L258" t="s">
        <v>488</v>
      </c>
    </row>
    <row r="259" spans="1:12" x14ac:dyDescent="0.3">
      <c r="A259" t="s">
        <v>318</v>
      </c>
      <c r="B259" t="s">
        <v>327</v>
      </c>
      <c r="C259" t="s">
        <v>906</v>
      </c>
      <c r="D259" s="4">
        <v>9.33</v>
      </c>
      <c r="E259" s="4">
        <v>0.71599999999999997</v>
      </c>
      <c r="F259" s="4">
        <v>0.38700000000000001</v>
      </c>
      <c r="G259" s="4">
        <v>0.46200000000000002</v>
      </c>
      <c r="H259" s="4">
        <v>0.54500000000000004</v>
      </c>
      <c r="I259" t="s">
        <v>907</v>
      </c>
      <c r="J259" t="s">
        <v>928</v>
      </c>
      <c r="K259" t="s">
        <v>1156</v>
      </c>
      <c r="L259" t="s">
        <v>488</v>
      </c>
    </row>
    <row r="260" spans="1:12" x14ac:dyDescent="0.3">
      <c r="A260" t="s">
        <v>318</v>
      </c>
      <c r="B260" t="s">
        <v>353</v>
      </c>
      <c r="C260" t="s">
        <v>896</v>
      </c>
      <c r="D260" s="4">
        <v>37.590000000000003</v>
      </c>
      <c r="E260" s="4">
        <v>0.745</v>
      </c>
      <c r="F260" s="4">
        <v>0.69599999999999995</v>
      </c>
      <c r="G260" s="4">
        <v>0.57499999999999996</v>
      </c>
      <c r="H260" s="4">
        <v>0.68500000000000005</v>
      </c>
      <c r="I260" t="s">
        <v>891</v>
      </c>
      <c r="J260" t="s">
        <v>892</v>
      </c>
      <c r="K260" t="s">
        <v>1157</v>
      </c>
      <c r="L260" t="s">
        <v>488</v>
      </c>
    </row>
    <row r="261" spans="1:12" x14ac:dyDescent="0.3">
      <c r="A261" t="s">
        <v>318</v>
      </c>
      <c r="B261" t="s">
        <v>289</v>
      </c>
      <c r="C261" t="s">
        <v>896</v>
      </c>
      <c r="D261" s="4">
        <v>46.92</v>
      </c>
      <c r="E261" s="4">
        <v>0.81699999999999995</v>
      </c>
      <c r="F261" s="4">
        <v>0.629</v>
      </c>
      <c r="G261" s="4">
        <v>0.53300000000000003</v>
      </c>
      <c r="H261" s="4">
        <v>0.68300000000000005</v>
      </c>
      <c r="I261" t="s">
        <v>891</v>
      </c>
      <c r="J261" t="s">
        <v>928</v>
      </c>
      <c r="K261" t="s">
        <v>1158</v>
      </c>
      <c r="L261" t="s">
        <v>488</v>
      </c>
    </row>
    <row r="262" spans="1:12" x14ac:dyDescent="0.3">
      <c r="A262" t="s">
        <v>320</v>
      </c>
      <c r="B262" t="s">
        <v>361</v>
      </c>
      <c r="C262" t="s">
        <v>890</v>
      </c>
      <c r="D262" s="4">
        <v>6.89</v>
      </c>
      <c r="E262" s="4">
        <v>0.73599999999999999</v>
      </c>
      <c r="F262" s="4">
        <v>0.84899999999999998</v>
      </c>
      <c r="G262" s="4">
        <v>0.59699999999999998</v>
      </c>
      <c r="H262" s="4">
        <v>0.73599999999999999</v>
      </c>
      <c r="I262" t="s">
        <v>891</v>
      </c>
      <c r="J262" t="s">
        <v>48</v>
      </c>
      <c r="K262" t="s">
        <v>1159</v>
      </c>
      <c r="L262" t="s">
        <v>488</v>
      </c>
    </row>
    <row r="263" spans="1:12" x14ac:dyDescent="0.3">
      <c r="A263" t="s">
        <v>320</v>
      </c>
      <c r="B263" t="s">
        <v>329</v>
      </c>
      <c r="C263" t="s">
        <v>890</v>
      </c>
      <c r="D263" s="4">
        <v>13.78</v>
      </c>
      <c r="E263" s="4">
        <v>0.84599999999999997</v>
      </c>
      <c r="F263" s="4">
        <v>0.84399999999999997</v>
      </c>
      <c r="G263" s="4">
        <v>0.42699999999999999</v>
      </c>
      <c r="H263" s="4">
        <v>0.73599999999999999</v>
      </c>
      <c r="I263" t="s">
        <v>891</v>
      </c>
      <c r="J263" t="s">
        <v>48</v>
      </c>
      <c r="K263" t="s">
        <v>1160</v>
      </c>
      <c r="L263" t="s">
        <v>488</v>
      </c>
    </row>
    <row r="264" spans="1:12" x14ac:dyDescent="0.3">
      <c r="A264" t="s">
        <v>320</v>
      </c>
      <c r="B264" t="s">
        <v>337</v>
      </c>
      <c r="C264" t="s">
        <v>896</v>
      </c>
      <c r="D264" s="4">
        <v>23.49</v>
      </c>
      <c r="E264" s="4">
        <v>0.74299999999999999</v>
      </c>
      <c r="F264" s="4">
        <v>0.75600000000000001</v>
      </c>
      <c r="G264" s="4">
        <v>0.55900000000000005</v>
      </c>
      <c r="H264" s="4">
        <v>0.69899999999999995</v>
      </c>
      <c r="I264" t="s">
        <v>891</v>
      </c>
      <c r="J264" t="s">
        <v>48</v>
      </c>
      <c r="K264" t="s">
        <v>1161</v>
      </c>
      <c r="L264" t="s">
        <v>488</v>
      </c>
    </row>
    <row r="265" spans="1:12" x14ac:dyDescent="0.3">
      <c r="A265" t="s">
        <v>320</v>
      </c>
      <c r="B265" t="s">
        <v>363</v>
      </c>
      <c r="C265" t="s">
        <v>896</v>
      </c>
      <c r="D265" s="4">
        <v>31.29</v>
      </c>
      <c r="E265" s="4">
        <v>0.89800000000000002</v>
      </c>
      <c r="F265" s="4">
        <v>0.70199999999999996</v>
      </c>
      <c r="G265" s="4">
        <v>0.64600000000000002</v>
      </c>
      <c r="H265" s="4">
        <v>0.77</v>
      </c>
      <c r="I265" t="s">
        <v>891</v>
      </c>
      <c r="J265" t="s">
        <v>48</v>
      </c>
      <c r="K265" t="s">
        <v>1162</v>
      </c>
      <c r="L265" t="s">
        <v>488</v>
      </c>
    </row>
    <row r="266" spans="1:12" x14ac:dyDescent="0.3">
      <c r="A266" t="s">
        <v>322</v>
      </c>
      <c r="B266" t="s">
        <v>325</v>
      </c>
      <c r="C266" t="s">
        <v>912</v>
      </c>
      <c r="D266" s="4">
        <v>5.48</v>
      </c>
      <c r="E266" s="4">
        <v>0.73499999999999999</v>
      </c>
      <c r="F266" s="4">
        <v>0.42599999999999999</v>
      </c>
      <c r="G266" s="4">
        <v>0.57799999999999996</v>
      </c>
      <c r="H266" s="4">
        <v>0.59499999999999997</v>
      </c>
      <c r="I266" t="s">
        <v>907</v>
      </c>
      <c r="J266" t="s">
        <v>892</v>
      </c>
      <c r="K266" t="s">
        <v>1163</v>
      </c>
      <c r="L266" t="s">
        <v>488</v>
      </c>
    </row>
    <row r="267" spans="1:12" x14ac:dyDescent="0.3">
      <c r="A267" t="s">
        <v>322</v>
      </c>
      <c r="B267" t="s">
        <v>337</v>
      </c>
      <c r="C267" t="s">
        <v>896</v>
      </c>
      <c r="D267" s="4">
        <v>29.03</v>
      </c>
      <c r="E267" s="4">
        <v>0.58499999999999996</v>
      </c>
      <c r="F267" s="4">
        <v>0.79300000000000004</v>
      </c>
      <c r="G267" s="4">
        <v>0.64700000000000002</v>
      </c>
      <c r="H267" s="4">
        <v>0.66800000000000004</v>
      </c>
      <c r="I267" t="s">
        <v>891</v>
      </c>
      <c r="J267" t="s">
        <v>892</v>
      </c>
      <c r="K267" t="s">
        <v>1164</v>
      </c>
      <c r="L267" t="s">
        <v>488</v>
      </c>
    </row>
    <row r="268" spans="1:12" x14ac:dyDescent="0.3">
      <c r="A268" t="s">
        <v>327</v>
      </c>
      <c r="B268" t="s">
        <v>286</v>
      </c>
      <c r="C268" t="s">
        <v>896</v>
      </c>
      <c r="D268" s="4">
        <v>41.45</v>
      </c>
      <c r="E268" s="4">
        <v>0.76900000000000002</v>
      </c>
      <c r="F268" s="4">
        <v>0.68600000000000005</v>
      </c>
      <c r="G268" s="4">
        <v>0.36399999999999999</v>
      </c>
      <c r="H268" s="4">
        <v>0.63700000000000001</v>
      </c>
      <c r="I268" t="s">
        <v>891</v>
      </c>
      <c r="J268" t="s">
        <v>48</v>
      </c>
      <c r="K268" t="s">
        <v>1165</v>
      </c>
      <c r="L268" t="s">
        <v>488</v>
      </c>
    </row>
    <row r="269" spans="1:12" x14ac:dyDescent="0.3">
      <c r="A269" t="s">
        <v>327</v>
      </c>
      <c r="B269" t="s">
        <v>353</v>
      </c>
      <c r="C269" t="s">
        <v>912</v>
      </c>
      <c r="D269" s="4">
        <v>40.369999999999997</v>
      </c>
      <c r="E269" s="4">
        <v>0.56200000000000006</v>
      </c>
      <c r="F269" s="4">
        <v>0.20799999999999999</v>
      </c>
      <c r="G269" s="4">
        <v>0.56100000000000005</v>
      </c>
      <c r="H269" s="4">
        <v>0.44900000000000001</v>
      </c>
      <c r="I269" t="s">
        <v>907</v>
      </c>
      <c r="J269" t="s">
        <v>892</v>
      </c>
      <c r="K269" t="s">
        <v>1166</v>
      </c>
      <c r="L269" t="s">
        <v>488</v>
      </c>
    </row>
    <row r="270" spans="1:12" x14ac:dyDescent="0.3">
      <c r="A270" t="s">
        <v>329</v>
      </c>
      <c r="B270" t="s">
        <v>361</v>
      </c>
      <c r="C270" t="s">
        <v>890</v>
      </c>
      <c r="D270" s="4">
        <v>7.31</v>
      </c>
      <c r="E270" s="4">
        <v>0.82799999999999996</v>
      </c>
      <c r="F270" s="4">
        <v>0.85899999999999999</v>
      </c>
      <c r="G270" s="4">
        <v>0.59299999999999997</v>
      </c>
      <c r="H270" s="4">
        <v>0.77700000000000002</v>
      </c>
      <c r="I270" t="s">
        <v>891</v>
      </c>
      <c r="J270" t="s">
        <v>48</v>
      </c>
      <c r="K270" t="s">
        <v>1167</v>
      </c>
      <c r="L270" t="s">
        <v>488</v>
      </c>
    </row>
    <row r="271" spans="1:12" x14ac:dyDescent="0.3">
      <c r="A271" t="s">
        <v>329</v>
      </c>
      <c r="B271" t="s">
        <v>363</v>
      </c>
      <c r="C271" t="s">
        <v>896</v>
      </c>
      <c r="D271" s="4">
        <v>28.21</v>
      </c>
      <c r="E271" s="4">
        <v>0.94699999999999995</v>
      </c>
      <c r="F271" s="4">
        <v>0.81100000000000005</v>
      </c>
      <c r="G271" s="4">
        <v>0.75700000000000001</v>
      </c>
      <c r="H271" s="4">
        <v>0.85399999999999998</v>
      </c>
      <c r="I271" t="s">
        <v>891</v>
      </c>
      <c r="J271" t="s">
        <v>48</v>
      </c>
      <c r="K271" t="s">
        <v>1168</v>
      </c>
      <c r="L271" t="s">
        <v>488</v>
      </c>
    </row>
    <row r="272" spans="1:12" x14ac:dyDescent="0.3">
      <c r="A272" t="s">
        <v>329</v>
      </c>
      <c r="B272" t="s">
        <v>337</v>
      </c>
      <c r="C272" t="s">
        <v>896</v>
      </c>
      <c r="D272" s="4">
        <v>35.1</v>
      </c>
      <c r="E272" s="4">
        <v>0.69</v>
      </c>
      <c r="F272" s="4">
        <v>0.69399999999999995</v>
      </c>
      <c r="G272" s="4">
        <v>0.47699999999999998</v>
      </c>
      <c r="H272" s="4">
        <v>0.63600000000000001</v>
      </c>
      <c r="I272" t="s">
        <v>891</v>
      </c>
      <c r="J272" t="s">
        <v>48</v>
      </c>
      <c r="K272" t="s">
        <v>1169</v>
      </c>
      <c r="L272" t="s">
        <v>488</v>
      </c>
    </row>
    <row r="273" spans="1:12" x14ac:dyDescent="0.3">
      <c r="A273" t="s">
        <v>331</v>
      </c>
      <c r="B273" t="s">
        <v>343</v>
      </c>
      <c r="C273" t="s">
        <v>912</v>
      </c>
      <c r="D273" s="4">
        <v>11.74</v>
      </c>
      <c r="E273" s="4">
        <v>0.94099999999999995</v>
      </c>
      <c r="F273" s="4">
        <v>0.41099999999999998</v>
      </c>
      <c r="G273" s="4">
        <v>0.77500000000000002</v>
      </c>
      <c r="H273" s="4">
        <v>0.72799999999999998</v>
      </c>
      <c r="I273" t="s">
        <v>907</v>
      </c>
      <c r="J273" t="s">
        <v>48</v>
      </c>
      <c r="K273" t="s">
        <v>1170</v>
      </c>
      <c r="L273" t="s">
        <v>488</v>
      </c>
    </row>
    <row r="274" spans="1:12" x14ac:dyDescent="0.3">
      <c r="A274" t="s">
        <v>331</v>
      </c>
      <c r="B274" t="s">
        <v>300</v>
      </c>
      <c r="C274" t="s">
        <v>896</v>
      </c>
      <c r="D274" s="4">
        <v>36.03</v>
      </c>
      <c r="E274" s="4">
        <v>0.879</v>
      </c>
      <c r="F274" s="4">
        <v>0.68200000000000005</v>
      </c>
      <c r="G274" s="4">
        <v>0.65500000000000003</v>
      </c>
      <c r="H274" s="4">
        <v>0.75800000000000001</v>
      </c>
      <c r="I274" t="s">
        <v>891</v>
      </c>
      <c r="J274" t="s">
        <v>48</v>
      </c>
      <c r="K274" t="s">
        <v>1171</v>
      </c>
      <c r="L274" t="s">
        <v>488</v>
      </c>
    </row>
    <row r="275" spans="1:12" x14ac:dyDescent="0.3">
      <c r="A275" t="s">
        <v>331</v>
      </c>
      <c r="B275" t="s">
        <v>351</v>
      </c>
      <c r="C275" t="s">
        <v>906</v>
      </c>
      <c r="D275" s="4">
        <v>23.52</v>
      </c>
      <c r="E275" s="4">
        <v>0.63600000000000001</v>
      </c>
      <c r="F275" s="4">
        <v>0.3</v>
      </c>
      <c r="G275" s="4">
        <v>0.504</v>
      </c>
      <c r="H275" s="4">
        <v>0.49399999999999999</v>
      </c>
      <c r="I275" t="s">
        <v>907</v>
      </c>
      <c r="J275" t="s">
        <v>48</v>
      </c>
      <c r="K275" t="s">
        <v>1172</v>
      </c>
      <c r="L275" t="s">
        <v>488</v>
      </c>
    </row>
    <row r="276" spans="1:12" x14ac:dyDescent="0.3">
      <c r="A276" t="s">
        <v>333</v>
      </c>
      <c r="B276" t="s">
        <v>281</v>
      </c>
      <c r="C276" t="s">
        <v>896</v>
      </c>
      <c r="D276" s="4">
        <v>31.66</v>
      </c>
      <c r="E276" s="4">
        <v>0.56899999999999995</v>
      </c>
      <c r="F276" s="4">
        <v>0.72799999999999998</v>
      </c>
      <c r="G276" s="4">
        <v>0.68</v>
      </c>
      <c r="H276" s="4">
        <v>0.64900000000000002</v>
      </c>
      <c r="I276" t="s">
        <v>891</v>
      </c>
      <c r="J276" t="s">
        <v>892</v>
      </c>
      <c r="K276" t="s">
        <v>1173</v>
      </c>
      <c r="L276" t="s">
        <v>488</v>
      </c>
    </row>
    <row r="277" spans="1:12" x14ac:dyDescent="0.3">
      <c r="A277" t="s">
        <v>333</v>
      </c>
      <c r="B277" t="s">
        <v>359</v>
      </c>
      <c r="C277" t="s">
        <v>906</v>
      </c>
      <c r="D277" s="4">
        <v>22.04</v>
      </c>
      <c r="E277" s="4">
        <v>0.84599999999999997</v>
      </c>
      <c r="F277" s="4">
        <v>0.34699999999999998</v>
      </c>
      <c r="G277" s="4">
        <v>0.71</v>
      </c>
      <c r="H277" s="4">
        <v>0.65100000000000002</v>
      </c>
      <c r="I277" t="s">
        <v>907</v>
      </c>
      <c r="J277" t="s">
        <v>892</v>
      </c>
      <c r="K277" t="s">
        <v>1174</v>
      </c>
      <c r="L277" t="s">
        <v>488</v>
      </c>
    </row>
    <row r="278" spans="1:12" x14ac:dyDescent="0.3">
      <c r="A278" t="s">
        <v>333</v>
      </c>
      <c r="B278" t="s">
        <v>345</v>
      </c>
      <c r="C278" t="s">
        <v>896</v>
      </c>
      <c r="D278" s="4">
        <v>37.33</v>
      </c>
      <c r="E278" s="4">
        <v>0.73299999999999998</v>
      </c>
      <c r="F278" s="4">
        <v>0.7</v>
      </c>
      <c r="G278" s="4">
        <v>0.56699999999999995</v>
      </c>
      <c r="H278" s="4">
        <v>0.67900000000000005</v>
      </c>
      <c r="I278" t="s">
        <v>891</v>
      </c>
      <c r="J278" t="s">
        <v>892</v>
      </c>
      <c r="K278" t="s">
        <v>1175</v>
      </c>
      <c r="L278" t="s">
        <v>488</v>
      </c>
    </row>
    <row r="279" spans="1:12" x14ac:dyDescent="0.3">
      <c r="A279" t="s">
        <v>333</v>
      </c>
      <c r="B279" t="s">
        <v>270</v>
      </c>
      <c r="C279" t="s">
        <v>912</v>
      </c>
      <c r="D279" s="4">
        <v>26.85</v>
      </c>
      <c r="E279" s="4">
        <v>0.64100000000000001</v>
      </c>
      <c r="F279" s="4">
        <v>0.27100000000000002</v>
      </c>
      <c r="G279" s="4">
        <v>0.68400000000000005</v>
      </c>
      <c r="H279" s="4">
        <v>0.53400000000000003</v>
      </c>
      <c r="I279" t="s">
        <v>907</v>
      </c>
      <c r="J279" t="s">
        <v>892</v>
      </c>
      <c r="K279" t="s">
        <v>1176</v>
      </c>
      <c r="L279" t="s">
        <v>488</v>
      </c>
    </row>
    <row r="280" spans="1:12" x14ac:dyDescent="0.3">
      <c r="A280" t="s">
        <v>335</v>
      </c>
      <c r="B280" t="s">
        <v>357</v>
      </c>
      <c r="C280" t="s">
        <v>906</v>
      </c>
      <c r="D280" s="4">
        <v>12.96</v>
      </c>
      <c r="E280" s="4">
        <v>0.71099999999999997</v>
      </c>
      <c r="F280" s="4">
        <v>0.35699999999999998</v>
      </c>
      <c r="G280" s="4">
        <v>0.66500000000000004</v>
      </c>
      <c r="H280" s="4">
        <v>0.58599999999999997</v>
      </c>
      <c r="I280" t="s">
        <v>907</v>
      </c>
      <c r="J280" t="s">
        <v>48</v>
      </c>
      <c r="K280" t="s">
        <v>1177</v>
      </c>
      <c r="L280" t="s">
        <v>488</v>
      </c>
    </row>
    <row r="281" spans="1:12" x14ac:dyDescent="0.3">
      <c r="A281" t="s">
        <v>335</v>
      </c>
      <c r="B281" t="s">
        <v>274</v>
      </c>
      <c r="C281" t="s">
        <v>896</v>
      </c>
      <c r="D281" s="4">
        <v>44.12</v>
      </c>
      <c r="E281" s="4">
        <v>0.83299999999999996</v>
      </c>
      <c r="F281" s="4">
        <v>0.66300000000000003</v>
      </c>
      <c r="G281" s="4">
        <v>0.58699999999999997</v>
      </c>
      <c r="H281" s="4">
        <v>0.71499999999999997</v>
      </c>
      <c r="I281" t="s">
        <v>891</v>
      </c>
      <c r="J281" t="s">
        <v>48</v>
      </c>
      <c r="K281" t="s">
        <v>1178</v>
      </c>
      <c r="L281" t="s">
        <v>488</v>
      </c>
    </row>
    <row r="282" spans="1:12" x14ac:dyDescent="0.3">
      <c r="A282" t="s">
        <v>335</v>
      </c>
      <c r="B282" t="s">
        <v>349</v>
      </c>
      <c r="C282" t="s">
        <v>912</v>
      </c>
      <c r="D282" s="4">
        <v>34.61</v>
      </c>
      <c r="E282" s="4">
        <v>0.71399999999999997</v>
      </c>
      <c r="F282" s="4">
        <v>0.251</v>
      </c>
      <c r="G282" s="4">
        <v>0.68500000000000005</v>
      </c>
      <c r="H282" s="4">
        <v>0.55800000000000005</v>
      </c>
      <c r="I282" t="s">
        <v>907</v>
      </c>
      <c r="J282" t="s">
        <v>928</v>
      </c>
      <c r="K282" t="s">
        <v>1179</v>
      </c>
      <c r="L282" t="s">
        <v>488</v>
      </c>
    </row>
    <row r="283" spans="1:12" x14ac:dyDescent="0.3">
      <c r="A283" t="s">
        <v>335</v>
      </c>
      <c r="B283" t="s">
        <v>426</v>
      </c>
      <c r="C283" t="s">
        <v>896</v>
      </c>
      <c r="D283" s="4">
        <v>18.37</v>
      </c>
      <c r="E283" s="4">
        <v>0.48799999999999999</v>
      </c>
      <c r="F283" s="4">
        <v>0.79400000000000004</v>
      </c>
      <c r="G283" s="4">
        <v>0.70199999999999996</v>
      </c>
      <c r="H283" s="4">
        <v>0.64200000000000002</v>
      </c>
      <c r="I283" t="s">
        <v>891</v>
      </c>
      <c r="J283" t="s">
        <v>48</v>
      </c>
      <c r="K283" t="s">
        <v>1180</v>
      </c>
      <c r="L283" t="s">
        <v>488</v>
      </c>
    </row>
    <row r="284" spans="1:12" x14ac:dyDescent="0.3">
      <c r="A284" t="s">
        <v>337</v>
      </c>
      <c r="B284" t="s">
        <v>355</v>
      </c>
      <c r="C284" t="s">
        <v>906</v>
      </c>
      <c r="D284" s="4">
        <v>9.26</v>
      </c>
      <c r="E284" s="4">
        <v>0.84199999999999997</v>
      </c>
      <c r="F284" s="4">
        <v>0.43099999999999999</v>
      </c>
      <c r="G284" s="4">
        <v>0.80200000000000005</v>
      </c>
      <c r="H284" s="4">
        <v>0.7</v>
      </c>
      <c r="I284" t="s">
        <v>907</v>
      </c>
      <c r="J284" t="s">
        <v>892</v>
      </c>
      <c r="K284" t="s">
        <v>1181</v>
      </c>
      <c r="L284" t="s">
        <v>488</v>
      </c>
    </row>
    <row r="285" spans="1:12" x14ac:dyDescent="0.3">
      <c r="A285" t="s">
        <v>339</v>
      </c>
      <c r="B285" t="s">
        <v>284</v>
      </c>
      <c r="C285" t="s">
        <v>896</v>
      </c>
      <c r="D285" s="4">
        <v>25.06</v>
      </c>
      <c r="E285" s="4">
        <v>0.67600000000000005</v>
      </c>
      <c r="F285" s="4">
        <v>0.78700000000000003</v>
      </c>
      <c r="G285" s="4">
        <v>0.65200000000000002</v>
      </c>
      <c r="H285" s="4">
        <v>0.70499999999999996</v>
      </c>
      <c r="I285" t="s">
        <v>891</v>
      </c>
      <c r="J285" t="s">
        <v>506</v>
      </c>
      <c r="K285" t="s">
        <v>1182</v>
      </c>
      <c r="L285" t="s">
        <v>488</v>
      </c>
    </row>
    <row r="286" spans="1:12" x14ac:dyDescent="0.3">
      <c r="A286" t="s">
        <v>339</v>
      </c>
      <c r="B286" t="s">
        <v>343</v>
      </c>
      <c r="C286" t="s">
        <v>906</v>
      </c>
      <c r="D286" s="4">
        <v>15.34</v>
      </c>
      <c r="E286" s="4">
        <v>0.39200000000000002</v>
      </c>
      <c r="F286" s="4">
        <v>0.308</v>
      </c>
      <c r="G286" s="4">
        <v>0.78600000000000003</v>
      </c>
      <c r="H286" s="4">
        <v>0.46800000000000003</v>
      </c>
      <c r="I286" t="s">
        <v>907</v>
      </c>
      <c r="J286" t="s">
        <v>892</v>
      </c>
      <c r="K286" t="s">
        <v>1183</v>
      </c>
      <c r="L286" t="s">
        <v>488</v>
      </c>
    </row>
    <row r="287" spans="1:12" x14ac:dyDescent="0.3">
      <c r="A287" t="s">
        <v>339</v>
      </c>
      <c r="B287" t="s">
        <v>300</v>
      </c>
      <c r="C287" t="s">
        <v>912</v>
      </c>
      <c r="D287" s="4">
        <v>16.95</v>
      </c>
      <c r="E287" s="4">
        <v>0.54300000000000004</v>
      </c>
      <c r="F287" s="4">
        <v>0.30499999999999999</v>
      </c>
      <c r="G287" s="4">
        <v>0.79600000000000004</v>
      </c>
      <c r="H287" s="4">
        <v>0.53200000000000003</v>
      </c>
      <c r="I287" t="s">
        <v>907</v>
      </c>
      <c r="J287" t="s">
        <v>892</v>
      </c>
      <c r="K287" t="s">
        <v>1184</v>
      </c>
      <c r="L287" t="s">
        <v>488</v>
      </c>
    </row>
    <row r="288" spans="1:12" x14ac:dyDescent="0.3">
      <c r="A288" t="s">
        <v>341</v>
      </c>
      <c r="B288" t="s">
        <v>345</v>
      </c>
      <c r="C288" t="s">
        <v>912</v>
      </c>
      <c r="D288" s="4">
        <v>11.17</v>
      </c>
      <c r="E288" s="4">
        <v>0.75800000000000001</v>
      </c>
      <c r="F288" s="4">
        <v>0.33300000000000002</v>
      </c>
      <c r="G288" s="4">
        <v>0.58099999999999996</v>
      </c>
      <c r="H288" s="4">
        <v>0.57599999999999996</v>
      </c>
      <c r="I288" t="s">
        <v>907</v>
      </c>
      <c r="J288" t="s">
        <v>928</v>
      </c>
      <c r="K288" t="s">
        <v>1185</v>
      </c>
      <c r="L288" t="s">
        <v>488</v>
      </c>
    </row>
    <row r="289" spans="1:12" x14ac:dyDescent="0.3">
      <c r="A289" t="s">
        <v>341</v>
      </c>
      <c r="B289" t="s">
        <v>359</v>
      </c>
      <c r="C289" t="s">
        <v>906</v>
      </c>
      <c r="D289" s="4">
        <v>13.06</v>
      </c>
      <c r="E289" s="4">
        <v>0.748</v>
      </c>
      <c r="F289" s="4">
        <v>0.39100000000000001</v>
      </c>
      <c r="G289" s="4">
        <v>0.54800000000000004</v>
      </c>
      <c r="H289" s="4">
        <v>0.58199999999999996</v>
      </c>
      <c r="I289" t="s">
        <v>907</v>
      </c>
      <c r="J289" t="s">
        <v>928</v>
      </c>
      <c r="K289" t="s">
        <v>1186</v>
      </c>
      <c r="L289" t="s">
        <v>488</v>
      </c>
    </row>
    <row r="290" spans="1:12" x14ac:dyDescent="0.3">
      <c r="A290" t="s">
        <v>341</v>
      </c>
      <c r="B290" t="s">
        <v>347</v>
      </c>
      <c r="C290" t="s">
        <v>906</v>
      </c>
      <c r="D290" s="4">
        <v>16.66</v>
      </c>
      <c r="E290" s="4">
        <v>0.496</v>
      </c>
      <c r="F290" s="4">
        <v>0.32800000000000001</v>
      </c>
      <c r="G290" s="4">
        <v>0.499</v>
      </c>
      <c r="H290" s="4">
        <v>0.443</v>
      </c>
      <c r="I290" t="s">
        <v>907</v>
      </c>
      <c r="J290" t="s">
        <v>892</v>
      </c>
      <c r="K290" t="s">
        <v>1187</v>
      </c>
      <c r="L290" t="s">
        <v>488</v>
      </c>
    </row>
    <row r="291" spans="1:12" x14ac:dyDescent="0.3">
      <c r="A291" t="s">
        <v>343</v>
      </c>
      <c r="B291" t="s">
        <v>351</v>
      </c>
      <c r="C291" t="s">
        <v>896</v>
      </c>
      <c r="D291" s="4">
        <v>34.49</v>
      </c>
      <c r="E291" s="4">
        <v>0.57599999999999996</v>
      </c>
      <c r="F291" s="4">
        <v>0.76200000000000001</v>
      </c>
      <c r="G291" s="4">
        <v>0.66500000000000004</v>
      </c>
      <c r="H291" s="4">
        <v>0.65900000000000003</v>
      </c>
      <c r="I291" t="s">
        <v>891</v>
      </c>
      <c r="J291" t="s">
        <v>48</v>
      </c>
      <c r="K291" t="s">
        <v>1188</v>
      </c>
      <c r="L291" t="s">
        <v>488</v>
      </c>
    </row>
    <row r="292" spans="1:12" x14ac:dyDescent="0.3">
      <c r="A292" t="s">
        <v>345</v>
      </c>
      <c r="B292" t="s">
        <v>347</v>
      </c>
      <c r="C292" t="s">
        <v>912</v>
      </c>
      <c r="D292" s="4">
        <v>10.88</v>
      </c>
      <c r="E292" s="4">
        <v>0.67200000000000004</v>
      </c>
      <c r="F292" s="4">
        <v>0.42499999999999999</v>
      </c>
      <c r="G292" s="4">
        <v>0.57499999999999996</v>
      </c>
      <c r="H292" s="4">
        <v>0.56799999999999995</v>
      </c>
      <c r="I292" t="s">
        <v>907</v>
      </c>
      <c r="J292" t="s">
        <v>892</v>
      </c>
      <c r="K292" t="s">
        <v>1189</v>
      </c>
      <c r="L292" t="s">
        <v>488</v>
      </c>
    </row>
    <row r="293" spans="1:12" x14ac:dyDescent="0.3">
      <c r="A293" t="s">
        <v>347</v>
      </c>
      <c r="B293" t="s">
        <v>359</v>
      </c>
      <c r="C293" t="s">
        <v>896</v>
      </c>
      <c r="D293" s="4">
        <v>23.39</v>
      </c>
      <c r="E293" s="4">
        <v>0.497</v>
      </c>
      <c r="F293" s="4">
        <v>0.752</v>
      </c>
      <c r="G293" s="4">
        <v>0.63300000000000001</v>
      </c>
      <c r="H293" s="4">
        <v>0.61399999999999999</v>
      </c>
      <c r="I293" t="s">
        <v>891</v>
      </c>
      <c r="J293" t="s">
        <v>892</v>
      </c>
      <c r="K293" t="s">
        <v>1190</v>
      </c>
      <c r="L293" t="s">
        <v>488</v>
      </c>
    </row>
    <row r="294" spans="1:12" x14ac:dyDescent="0.3">
      <c r="A294" t="s">
        <v>349</v>
      </c>
      <c r="B294" t="s">
        <v>315</v>
      </c>
      <c r="C294" t="s">
        <v>906</v>
      </c>
      <c r="D294" s="4">
        <v>13.84</v>
      </c>
      <c r="E294" s="4">
        <v>0.76</v>
      </c>
      <c r="F294" s="4">
        <v>0.38100000000000001</v>
      </c>
      <c r="G294" s="4">
        <v>0.58299999999999996</v>
      </c>
      <c r="H294" s="4">
        <v>0.59199999999999997</v>
      </c>
      <c r="I294" t="s">
        <v>907</v>
      </c>
      <c r="J294" t="s">
        <v>892</v>
      </c>
      <c r="K294" t="s">
        <v>1191</v>
      </c>
      <c r="L294" t="s">
        <v>488</v>
      </c>
    </row>
    <row r="295" spans="1:12" x14ac:dyDescent="0.3">
      <c r="A295" t="s">
        <v>353</v>
      </c>
      <c r="B295" t="s">
        <v>345</v>
      </c>
      <c r="C295" t="s">
        <v>896</v>
      </c>
      <c r="D295" s="4">
        <v>29.28</v>
      </c>
      <c r="E295" s="4">
        <v>0.63400000000000001</v>
      </c>
      <c r="F295" s="4">
        <v>0.77700000000000002</v>
      </c>
      <c r="G295" s="4">
        <v>0.66700000000000004</v>
      </c>
      <c r="H295" s="4">
        <v>0.68799999999999994</v>
      </c>
      <c r="I295" t="s">
        <v>891</v>
      </c>
      <c r="J295" t="s">
        <v>892</v>
      </c>
      <c r="K295" t="s">
        <v>1192</v>
      </c>
      <c r="L295" t="s">
        <v>488</v>
      </c>
    </row>
    <row r="296" spans="1:12" x14ac:dyDescent="0.3">
      <c r="A296" t="s">
        <v>353</v>
      </c>
      <c r="B296" t="s">
        <v>274</v>
      </c>
      <c r="C296" t="s">
        <v>896</v>
      </c>
      <c r="D296" s="4">
        <v>35.76</v>
      </c>
      <c r="E296" s="4">
        <v>0.80200000000000005</v>
      </c>
      <c r="F296" s="4">
        <v>0.71099999999999997</v>
      </c>
      <c r="G296" s="4">
        <v>0.64800000000000002</v>
      </c>
      <c r="H296" s="4">
        <v>0.73299999999999998</v>
      </c>
      <c r="I296" t="s">
        <v>891</v>
      </c>
      <c r="J296" t="s">
        <v>892</v>
      </c>
      <c r="K296" t="s">
        <v>1193</v>
      </c>
      <c r="L296" t="s">
        <v>488</v>
      </c>
    </row>
    <row r="297" spans="1:12" x14ac:dyDescent="0.3">
      <c r="A297" t="s">
        <v>355</v>
      </c>
      <c r="B297" t="s">
        <v>325</v>
      </c>
      <c r="C297" t="s">
        <v>896</v>
      </c>
      <c r="D297" s="4">
        <v>32.479999999999997</v>
      </c>
      <c r="E297" s="4">
        <v>0.85399999999999998</v>
      </c>
      <c r="F297" s="4">
        <v>0.71499999999999997</v>
      </c>
      <c r="G297" s="4">
        <v>0.52</v>
      </c>
      <c r="H297" s="4">
        <v>0.72199999999999998</v>
      </c>
      <c r="I297" t="s">
        <v>891</v>
      </c>
      <c r="J297" t="s">
        <v>892</v>
      </c>
      <c r="K297" t="s">
        <v>1194</v>
      </c>
      <c r="L297" t="s">
        <v>488</v>
      </c>
    </row>
    <row r="298" spans="1:12" x14ac:dyDescent="0.3">
      <c r="A298" t="s">
        <v>357</v>
      </c>
      <c r="B298" t="s">
        <v>349</v>
      </c>
      <c r="C298" t="s">
        <v>896</v>
      </c>
      <c r="D298" s="4">
        <v>36.53</v>
      </c>
      <c r="E298" s="4">
        <v>0.91500000000000004</v>
      </c>
      <c r="F298" s="4">
        <v>0.69299999999999995</v>
      </c>
      <c r="G298" s="4">
        <v>0.73799999999999999</v>
      </c>
      <c r="H298" s="4">
        <v>0.79800000000000004</v>
      </c>
      <c r="I298" t="s">
        <v>891</v>
      </c>
      <c r="J298" t="s">
        <v>928</v>
      </c>
      <c r="K298" t="s">
        <v>1195</v>
      </c>
      <c r="L298" t="s">
        <v>488</v>
      </c>
    </row>
    <row r="299" spans="1:12" x14ac:dyDescent="0.3">
      <c r="A299" t="s">
        <v>357</v>
      </c>
      <c r="B299" t="s">
        <v>313</v>
      </c>
      <c r="C299" t="s">
        <v>912</v>
      </c>
      <c r="D299" s="4">
        <v>41.9</v>
      </c>
      <c r="E299" s="4">
        <v>0.91500000000000004</v>
      </c>
      <c r="F299" s="4">
        <v>0.17899999999999999</v>
      </c>
      <c r="G299" s="4">
        <v>0.61299999999999999</v>
      </c>
      <c r="H299" s="4">
        <v>0.60099999999999998</v>
      </c>
      <c r="I299" t="s">
        <v>907</v>
      </c>
      <c r="J299" t="s">
        <v>48</v>
      </c>
      <c r="K299" t="s">
        <v>1196</v>
      </c>
      <c r="L299" t="s">
        <v>488</v>
      </c>
    </row>
    <row r="300" spans="1:12" x14ac:dyDescent="0.3">
      <c r="A300" t="s">
        <v>357</v>
      </c>
      <c r="B300" t="s">
        <v>305</v>
      </c>
      <c r="C300" t="s">
        <v>896</v>
      </c>
      <c r="D300" s="4">
        <v>59.64</v>
      </c>
      <c r="E300" s="4">
        <v>0.755</v>
      </c>
      <c r="F300" s="4">
        <v>0.52900000000000003</v>
      </c>
      <c r="G300" s="4">
        <v>0.36699999999999999</v>
      </c>
      <c r="H300" s="4">
        <v>0.58199999999999996</v>
      </c>
      <c r="I300" t="s">
        <v>891</v>
      </c>
      <c r="J300" t="s">
        <v>48</v>
      </c>
      <c r="K300" t="s">
        <v>1197</v>
      </c>
      <c r="L300" t="s">
        <v>488</v>
      </c>
    </row>
    <row r="301" spans="1:12" x14ac:dyDescent="0.3">
      <c r="A301" t="s">
        <v>359</v>
      </c>
      <c r="B301" t="s">
        <v>345</v>
      </c>
      <c r="C301" t="s">
        <v>906</v>
      </c>
      <c r="D301" s="4">
        <v>23.01</v>
      </c>
      <c r="E301" s="4">
        <v>0.73799999999999999</v>
      </c>
      <c r="F301" s="4">
        <v>0.314</v>
      </c>
      <c r="G301" s="4">
        <v>0.6</v>
      </c>
      <c r="H301" s="4">
        <v>0.56699999999999995</v>
      </c>
      <c r="I301" t="s">
        <v>907</v>
      </c>
      <c r="J301" t="s">
        <v>48</v>
      </c>
      <c r="K301" t="s">
        <v>1198</v>
      </c>
      <c r="L301" t="s">
        <v>488</v>
      </c>
    </row>
    <row r="302" spans="1:12" x14ac:dyDescent="0.3">
      <c r="A302" t="s">
        <v>361</v>
      </c>
      <c r="B302" t="s">
        <v>363</v>
      </c>
      <c r="C302" t="s">
        <v>896</v>
      </c>
      <c r="D302" s="4">
        <v>27.36</v>
      </c>
      <c r="E302" s="4">
        <v>0.83899999999999997</v>
      </c>
      <c r="F302" s="4">
        <v>0.78800000000000003</v>
      </c>
      <c r="G302" s="4">
        <v>0.60299999999999998</v>
      </c>
      <c r="H302" s="4">
        <v>0.76100000000000001</v>
      </c>
      <c r="I302" t="s">
        <v>891</v>
      </c>
      <c r="J302" t="s">
        <v>48</v>
      </c>
      <c r="K302" t="s">
        <v>1199</v>
      </c>
      <c r="L302" t="s">
        <v>488</v>
      </c>
    </row>
    <row r="303" spans="1:12" x14ac:dyDescent="0.3">
      <c r="A303" t="s">
        <v>361</v>
      </c>
      <c r="B303" t="s">
        <v>337</v>
      </c>
      <c r="C303" t="s">
        <v>896</v>
      </c>
      <c r="D303" s="4">
        <v>28</v>
      </c>
      <c r="E303" s="4">
        <v>0.749</v>
      </c>
      <c r="F303" s="4">
        <v>0.71599999999999997</v>
      </c>
      <c r="G303" s="4">
        <v>0.67700000000000005</v>
      </c>
      <c r="H303" s="4">
        <v>0.72</v>
      </c>
      <c r="I303" t="s">
        <v>891</v>
      </c>
      <c r="J303" t="s">
        <v>48</v>
      </c>
      <c r="K303" t="s">
        <v>1200</v>
      </c>
      <c r="L303" t="s">
        <v>488</v>
      </c>
    </row>
    <row r="304" spans="1:12" x14ac:dyDescent="0.3">
      <c r="A304" t="s">
        <v>363</v>
      </c>
      <c r="B304" t="s">
        <v>337</v>
      </c>
      <c r="C304" t="s">
        <v>896</v>
      </c>
      <c r="D304" s="4">
        <v>33.909999999999997</v>
      </c>
      <c r="E304" s="4">
        <v>0.73099999999999998</v>
      </c>
      <c r="F304" s="4">
        <v>0.70899999999999996</v>
      </c>
      <c r="G304" s="4">
        <v>0.66100000000000003</v>
      </c>
      <c r="H304" s="4">
        <v>0.70599999999999996</v>
      </c>
      <c r="I304" t="s">
        <v>891</v>
      </c>
      <c r="J304" t="s">
        <v>48</v>
      </c>
      <c r="K304" t="s">
        <v>1201</v>
      </c>
      <c r="L304" t="s">
        <v>488</v>
      </c>
    </row>
    <row r="305" spans="1:12" x14ac:dyDescent="0.3">
      <c r="A305" t="s">
        <v>365</v>
      </c>
      <c r="B305" t="s">
        <v>384</v>
      </c>
      <c r="C305" t="s">
        <v>896</v>
      </c>
      <c r="D305" s="4">
        <v>21.56</v>
      </c>
      <c r="E305" s="4">
        <v>0.88</v>
      </c>
      <c r="F305" s="4">
        <v>0.83</v>
      </c>
      <c r="G305" s="4">
        <v>0.72399999999999998</v>
      </c>
      <c r="H305" s="4">
        <v>0.82399999999999995</v>
      </c>
      <c r="I305" t="s">
        <v>891</v>
      </c>
      <c r="J305" t="s">
        <v>48</v>
      </c>
      <c r="K305" t="s">
        <v>1202</v>
      </c>
      <c r="L305" t="s">
        <v>488</v>
      </c>
    </row>
    <row r="306" spans="1:12" x14ac:dyDescent="0.3">
      <c r="A306" t="s">
        <v>365</v>
      </c>
      <c r="B306" t="s">
        <v>446</v>
      </c>
      <c r="C306" t="s">
        <v>912</v>
      </c>
      <c r="D306" s="4">
        <v>9.52</v>
      </c>
      <c r="E306" s="4">
        <v>0.90900000000000003</v>
      </c>
      <c r="F306" s="4">
        <v>0.41799999999999998</v>
      </c>
      <c r="G306" s="4">
        <v>0.60799999999999998</v>
      </c>
      <c r="H306" s="4">
        <v>0.67300000000000004</v>
      </c>
      <c r="I306" t="s">
        <v>907</v>
      </c>
      <c r="J306" t="s">
        <v>48</v>
      </c>
      <c r="K306" t="s">
        <v>1203</v>
      </c>
      <c r="L306" t="s">
        <v>488</v>
      </c>
    </row>
    <row r="307" spans="1:12" x14ac:dyDescent="0.3">
      <c r="A307" t="s">
        <v>365</v>
      </c>
      <c r="B307" t="s">
        <v>405</v>
      </c>
      <c r="C307" t="s">
        <v>912</v>
      </c>
      <c r="D307" s="4">
        <v>24.68</v>
      </c>
      <c r="E307" s="4">
        <v>0.81899999999999995</v>
      </c>
      <c r="F307" s="4">
        <v>0.23499999999999999</v>
      </c>
      <c r="G307" s="4">
        <v>0.71099999999999997</v>
      </c>
      <c r="H307" s="4">
        <v>0.60399999999999998</v>
      </c>
      <c r="I307" t="s">
        <v>907</v>
      </c>
      <c r="J307" t="s">
        <v>48</v>
      </c>
      <c r="K307" t="s">
        <v>1204</v>
      </c>
      <c r="L307" t="s">
        <v>488</v>
      </c>
    </row>
    <row r="308" spans="1:12" x14ac:dyDescent="0.3">
      <c r="A308" t="s">
        <v>365</v>
      </c>
      <c r="B308" t="s">
        <v>432</v>
      </c>
      <c r="C308" t="s">
        <v>906</v>
      </c>
      <c r="D308" s="4">
        <v>30.4</v>
      </c>
      <c r="E308" s="4">
        <v>0.9</v>
      </c>
      <c r="F308" s="4">
        <v>0.28999999999999998</v>
      </c>
      <c r="G308" s="4">
        <v>0.58599999999999997</v>
      </c>
      <c r="H308" s="4">
        <v>0.623</v>
      </c>
      <c r="I308" t="s">
        <v>907</v>
      </c>
      <c r="J308" t="s">
        <v>48</v>
      </c>
      <c r="K308" t="s">
        <v>1205</v>
      </c>
      <c r="L308" t="s">
        <v>488</v>
      </c>
    </row>
    <row r="309" spans="1:12" x14ac:dyDescent="0.3">
      <c r="A309" t="s">
        <v>368</v>
      </c>
      <c r="B309" t="s">
        <v>374</v>
      </c>
      <c r="C309" t="s">
        <v>906</v>
      </c>
      <c r="D309" s="4">
        <v>21.52</v>
      </c>
      <c r="E309" s="4">
        <v>0.88900000000000001</v>
      </c>
      <c r="F309" s="4">
        <v>0.317</v>
      </c>
      <c r="G309" s="4">
        <v>0.45</v>
      </c>
      <c r="H309" s="4">
        <v>0.59199999999999997</v>
      </c>
      <c r="I309" t="s">
        <v>907</v>
      </c>
      <c r="J309" t="s">
        <v>48</v>
      </c>
      <c r="K309" t="s">
        <v>1206</v>
      </c>
      <c r="L309" t="s">
        <v>488</v>
      </c>
    </row>
    <row r="310" spans="1:12" x14ac:dyDescent="0.3">
      <c r="A310" t="s">
        <v>368</v>
      </c>
      <c r="B310" t="s">
        <v>420</v>
      </c>
      <c r="C310" t="s">
        <v>896</v>
      </c>
      <c r="D310" s="4">
        <v>39.659999999999997</v>
      </c>
      <c r="E310" s="4">
        <v>0.86599999999999999</v>
      </c>
      <c r="F310" s="4">
        <v>0.67300000000000004</v>
      </c>
      <c r="G310" s="4">
        <v>0.25700000000000001</v>
      </c>
      <c r="H310" s="4">
        <v>0.64600000000000002</v>
      </c>
      <c r="I310" t="s">
        <v>891</v>
      </c>
      <c r="J310" t="s">
        <v>48</v>
      </c>
      <c r="K310" t="s">
        <v>1207</v>
      </c>
      <c r="L310" t="s">
        <v>488</v>
      </c>
    </row>
    <row r="311" spans="1:12" x14ac:dyDescent="0.3">
      <c r="A311" t="s">
        <v>368</v>
      </c>
      <c r="B311" t="s">
        <v>430</v>
      </c>
      <c r="C311" t="s">
        <v>912</v>
      </c>
      <c r="D311" s="4">
        <v>27.16</v>
      </c>
      <c r="E311" s="4">
        <v>0.9</v>
      </c>
      <c r="F311" s="4">
        <v>0.28499999999999998</v>
      </c>
      <c r="G311" s="4">
        <v>0.57599999999999996</v>
      </c>
      <c r="H311" s="4">
        <v>0.61899999999999999</v>
      </c>
      <c r="I311" t="s">
        <v>907</v>
      </c>
      <c r="J311" t="s">
        <v>48</v>
      </c>
      <c r="K311" t="s">
        <v>1208</v>
      </c>
      <c r="L311" t="s">
        <v>488</v>
      </c>
    </row>
    <row r="312" spans="1:12" x14ac:dyDescent="0.3">
      <c r="A312" t="s">
        <v>368</v>
      </c>
      <c r="B312" t="s">
        <v>377</v>
      </c>
      <c r="C312" t="s">
        <v>912</v>
      </c>
      <c r="D312" s="4">
        <v>28.15</v>
      </c>
      <c r="E312" s="4">
        <v>0.91100000000000003</v>
      </c>
      <c r="F312" s="4">
        <v>0.34100000000000003</v>
      </c>
      <c r="G312" s="4">
        <v>0.63200000000000001</v>
      </c>
      <c r="H312" s="4">
        <v>0.65600000000000003</v>
      </c>
      <c r="I312" t="s">
        <v>907</v>
      </c>
      <c r="J312" t="s">
        <v>48</v>
      </c>
      <c r="K312" t="s">
        <v>1209</v>
      </c>
      <c r="L312" t="s">
        <v>488</v>
      </c>
    </row>
    <row r="313" spans="1:12" x14ac:dyDescent="0.3">
      <c r="A313" t="s">
        <v>370</v>
      </c>
      <c r="B313" t="s">
        <v>393</v>
      </c>
      <c r="C313" t="s">
        <v>896</v>
      </c>
      <c r="D313" s="4">
        <v>23.76</v>
      </c>
      <c r="E313" s="4">
        <v>0.53500000000000003</v>
      </c>
      <c r="F313" s="4">
        <v>0.76500000000000001</v>
      </c>
      <c r="G313" s="4">
        <v>0.65300000000000002</v>
      </c>
      <c r="H313" s="4">
        <v>0.63900000000000001</v>
      </c>
      <c r="I313" t="s">
        <v>891</v>
      </c>
      <c r="J313" t="s">
        <v>892</v>
      </c>
      <c r="K313" t="s">
        <v>1210</v>
      </c>
      <c r="L313" t="s">
        <v>488</v>
      </c>
    </row>
    <row r="314" spans="1:12" x14ac:dyDescent="0.3">
      <c r="A314" t="s">
        <v>370</v>
      </c>
      <c r="B314" t="s">
        <v>435</v>
      </c>
      <c r="C314" t="s">
        <v>896</v>
      </c>
      <c r="D314" s="4">
        <v>26.5</v>
      </c>
      <c r="E314" s="4">
        <v>0.61199999999999999</v>
      </c>
      <c r="F314" s="4">
        <v>0.80300000000000005</v>
      </c>
      <c r="G314" s="4">
        <v>0.67900000000000005</v>
      </c>
      <c r="H314" s="4">
        <v>0.69</v>
      </c>
      <c r="I314" t="s">
        <v>891</v>
      </c>
      <c r="J314" t="s">
        <v>892</v>
      </c>
      <c r="K314" t="s">
        <v>1211</v>
      </c>
      <c r="L314" t="s">
        <v>488</v>
      </c>
    </row>
    <row r="315" spans="1:12" x14ac:dyDescent="0.3">
      <c r="A315" t="s">
        <v>370</v>
      </c>
      <c r="B315" t="s">
        <v>382</v>
      </c>
      <c r="C315" t="s">
        <v>896</v>
      </c>
      <c r="D315" s="4">
        <v>28.59</v>
      </c>
      <c r="E315" s="4">
        <v>0.78600000000000003</v>
      </c>
      <c r="F315" s="4">
        <v>0.77100000000000002</v>
      </c>
      <c r="G315" s="4">
        <v>0.64200000000000002</v>
      </c>
      <c r="H315" s="4">
        <v>0.74399999999999999</v>
      </c>
      <c r="I315" t="s">
        <v>891</v>
      </c>
      <c r="J315" t="s">
        <v>506</v>
      </c>
      <c r="K315" t="s">
        <v>1212</v>
      </c>
      <c r="L315" t="s">
        <v>488</v>
      </c>
    </row>
    <row r="316" spans="1:12" x14ac:dyDescent="0.3">
      <c r="A316" t="s">
        <v>370</v>
      </c>
      <c r="B316" t="s">
        <v>418</v>
      </c>
      <c r="C316" t="s">
        <v>912</v>
      </c>
      <c r="D316" s="4">
        <v>16.239999999999998</v>
      </c>
      <c r="E316" s="4">
        <v>0.47299999999999998</v>
      </c>
      <c r="F316" s="4">
        <v>0.373</v>
      </c>
      <c r="G316" s="4">
        <v>0.77800000000000002</v>
      </c>
      <c r="H316" s="4">
        <v>0.52</v>
      </c>
      <c r="I316" t="s">
        <v>907</v>
      </c>
      <c r="J316" t="s">
        <v>892</v>
      </c>
      <c r="K316" t="s">
        <v>1213</v>
      </c>
      <c r="L316" t="s">
        <v>488</v>
      </c>
    </row>
    <row r="317" spans="1:12" x14ac:dyDescent="0.3">
      <c r="A317" t="s">
        <v>372</v>
      </c>
      <c r="B317" t="s">
        <v>448</v>
      </c>
      <c r="C317" t="s">
        <v>890</v>
      </c>
      <c r="D317" s="4">
        <v>10.58</v>
      </c>
      <c r="E317" s="4">
        <v>0.92800000000000005</v>
      </c>
      <c r="F317" s="4">
        <v>0.84699999999999998</v>
      </c>
      <c r="G317" s="4">
        <v>0.63100000000000001</v>
      </c>
      <c r="H317" s="4">
        <v>0.82499999999999996</v>
      </c>
      <c r="I317" t="s">
        <v>891</v>
      </c>
      <c r="J317" t="s">
        <v>48</v>
      </c>
      <c r="K317" t="s">
        <v>1214</v>
      </c>
      <c r="L317" t="s">
        <v>488</v>
      </c>
    </row>
    <row r="318" spans="1:12" x14ac:dyDescent="0.3">
      <c r="A318" t="s">
        <v>372</v>
      </c>
      <c r="B318" t="s">
        <v>389</v>
      </c>
      <c r="C318" t="s">
        <v>896</v>
      </c>
      <c r="D318" s="4">
        <v>21</v>
      </c>
      <c r="E318" s="4">
        <v>0.75900000000000001</v>
      </c>
      <c r="F318" s="4">
        <v>0.73</v>
      </c>
      <c r="G318" s="4">
        <v>0.76</v>
      </c>
      <c r="H318" s="4">
        <v>0.75</v>
      </c>
      <c r="I318" t="s">
        <v>891</v>
      </c>
      <c r="J318" t="s">
        <v>48</v>
      </c>
      <c r="K318" t="s">
        <v>1215</v>
      </c>
      <c r="L318" t="s">
        <v>488</v>
      </c>
    </row>
    <row r="319" spans="1:12" x14ac:dyDescent="0.3">
      <c r="A319" t="s">
        <v>372</v>
      </c>
      <c r="B319" t="s">
        <v>450</v>
      </c>
      <c r="C319" t="s">
        <v>896</v>
      </c>
      <c r="D319" s="4">
        <v>34.200000000000003</v>
      </c>
      <c r="E319" s="4">
        <v>0.83599999999999997</v>
      </c>
      <c r="F319" s="4">
        <v>0.72</v>
      </c>
      <c r="G319" s="4">
        <v>0.45100000000000001</v>
      </c>
      <c r="H319" s="4">
        <v>0.69899999999999995</v>
      </c>
      <c r="I319" t="s">
        <v>891</v>
      </c>
      <c r="J319" t="s">
        <v>48</v>
      </c>
      <c r="K319" t="s">
        <v>1216</v>
      </c>
      <c r="L319" t="s">
        <v>488</v>
      </c>
    </row>
    <row r="320" spans="1:12" x14ac:dyDescent="0.3">
      <c r="A320" t="s">
        <v>372</v>
      </c>
      <c r="B320" t="s">
        <v>430</v>
      </c>
      <c r="C320" t="s">
        <v>906</v>
      </c>
      <c r="D320" s="4">
        <v>29.69</v>
      </c>
      <c r="E320" s="4">
        <v>0.83</v>
      </c>
      <c r="F320" s="4">
        <v>0.3</v>
      </c>
      <c r="G320" s="4">
        <v>0.32800000000000001</v>
      </c>
      <c r="H320" s="4">
        <v>0.53</v>
      </c>
      <c r="I320" t="s">
        <v>907</v>
      </c>
      <c r="J320" t="s">
        <v>48</v>
      </c>
      <c r="K320" t="s">
        <v>1217</v>
      </c>
      <c r="L320" t="s">
        <v>488</v>
      </c>
    </row>
    <row r="321" spans="1:12" x14ac:dyDescent="0.3">
      <c r="A321" t="s">
        <v>374</v>
      </c>
      <c r="B321" t="s">
        <v>377</v>
      </c>
      <c r="C321" t="s">
        <v>890</v>
      </c>
      <c r="D321" s="4">
        <v>6.63</v>
      </c>
      <c r="E321" s="4">
        <v>0.88900000000000001</v>
      </c>
      <c r="F321" s="4">
        <v>0.84299999999999997</v>
      </c>
      <c r="G321" s="4">
        <v>0.75900000000000001</v>
      </c>
      <c r="H321" s="4">
        <v>0.84</v>
      </c>
      <c r="I321" t="s">
        <v>891</v>
      </c>
      <c r="J321" t="s">
        <v>48</v>
      </c>
      <c r="K321" t="s">
        <v>1218</v>
      </c>
      <c r="L321" t="s">
        <v>488</v>
      </c>
    </row>
    <row r="322" spans="1:12" x14ac:dyDescent="0.3">
      <c r="A322" t="s">
        <v>374</v>
      </c>
      <c r="B322" t="s">
        <v>380</v>
      </c>
      <c r="C322" t="s">
        <v>896</v>
      </c>
      <c r="D322" s="4">
        <v>41.41</v>
      </c>
      <c r="E322" s="4">
        <v>0.94599999999999995</v>
      </c>
      <c r="F322" s="4">
        <v>0.69499999999999995</v>
      </c>
      <c r="G322" s="4">
        <v>0.55200000000000005</v>
      </c>
      <c r="H322" s="4">
        <v>0.76400000000000001</v>
      </c>
      <c r="I322" t="s">
        <v>891</v>
      </c>
      <c r="J322" t="s">
        <v>48</v>
      </c>
      <c r="K322" t="s">
        <v>1219</v>
      </c>
      <c r="L322" t="s">
        <v>488</v>
      </c>
    </row>
    <row r="323" spans="1:12" x14ac:dyDescent="0.3">
      <c r="A323" t="s">
        <v>374</v>
      </c>
      <c r="B323" t="s">
        <v>396</v>
      </c>
      <c r="C323" t="s">
        <v>906</v>
      </c>
      <c r="D323" s="4">
        <v>34.85</v>
      </c>
      <c r="E323" s="4">
        <v>0.78100000000000003</v>
      </c>
      <c r="F323" s="4">
        <v>0.218</v>
      </c>
      <c r="G323" s="4">
        <v>0.41699999999999998</v>
      </c>
      <c r="H323" s="4">
        <v>0.50600000000000001</v>
      </c>
      <c r="I323" t="s">
        <v>907</v>
      </c>
      <c r="J323" t="s">
        <v>48</v>
      </c>
      <c r="K323" t="s">
        <v>1220</v>
      </c>
      <c r="L323" t="s">
        <v>488</v>
      </c>
    </row>
    <row r="324" spans="1:12" x14ac:dyDescent="0.3">
      <c r="A324" t="s">
        <v>377</v>
      </c>
      <c r="B324" t="s">
        <v>380</v>
      </c>
      <c r="C324" t="s">
        <v>896</v>
      </c>
      <c r="D324" s="4">
        <v>40.54</v>
      </c>
      <c r="E324" s="4">
        <v>0.90900000000000003</v>
      </c>
      <c r="F324" s="4">
        <v>0.65400000000000003</v>
      </c>
      <c r="G324" s="4">
        <v>0.64600000000000002</v>
      </c>
      <c r="H324" s="4">
        <v>0.75900000000000001</v>
      </c>
      <c r="I324" t="s">
        <v>891</v>
      </c>
      <c r="J324" t="s">
        <v>48</v>
      </c>
      <c r="K324" t="s">
        <v>1221</v>
      </c>
      <c r="L324" t="s">
        <v>488</v>
      </c>
    </row>
    <row r="325" spans="1:12" x14ac:dyDescent="0.3">
      <c r="A325" t="s">
        <v>377</v>
      </c>
      <c r="B325" t="s">
        <v>396</v>
      </c>
      <c r="C325" t="s">
        <v>906</v>
      </c>
      <c r="D325" s="4">
        <v>31.41</v>
      </c>
      <c r="E325" s="4">
        <v>0.87</v>
      </c>
      <c r="F325" s="4">
        <v>0.253</v>
      </c>
      <c r="G325" s="4">
        <v>0.58599999999999997</v>
      </c>
      <c r="H325" s="4">
        <v>0.59899999999999998</v>
      </c>
      <c r="I325" t="s">
        <v>907</v>
      </c>
      <c r="J325" t="s">
        <v>48</v>
      </c>
      <c r="K325" t="s">
        <v>1222</v>
      </c>
      <c r="L325" t="s">
        <v>488</v>
      </c>
    </row>
    <row r="326" spans="1:12" x14ac:dyDescent="0.3">
      <c r="A326" t="s">
        <v>380</v>
      </c>
      <c r="B326" t="s">
        <v>386</v>
      </c>
      <c r="C326" t="s">
        <v>912</v>
      </c>
      <c r="D326" s="4">
        <v>14.05</v>
      </c>
      <c r="E326" s="4">
        <v>0.77100000000000002</v>
      </c>
      <c r="F326" s="4">
        <v>0.35699999999999998</v>
      </c>
      <c r="G326" s="4">
        <v>0.501</v>
      </c>
      <c r="H326" s="4">
        <v>0.56799999999999995</v>
      </c>
      <c r="I326" t="s">
        <v>907</v>
      </c>
      <c r="J326" t="s">
        <v>892</v>
      </c>
      <c r="K326" t="s">
        <v>1223</v>
      </c>
      <c r="L326" t="s">
        <v>488</v>
      </c>
    </row>
    <row r="327" spans="1:12" x14ac:dyDescent="0.3">
      <c r="A327" t="s">
        <v>380</v>
      </c>
      <c r="B327" t="s">
        <v>396</v>
      </c>
      <c r="C327" t="s">
        <v>906</v>
      </c>
      <c r="D327" s="4">
        <v>17.07</v>
      </c>
      <c r="E327" s="4">
        <v>0.80900000000000005</v>
      </c>
      <c r="F327" s="4">
        <v>0.40400000000000003</v>
      </c>
      <c r="G327" s="4">
        <v>0.77500000000000002</v>
      </c>
      <c r="H327" s="4">
        <v>0.67100000000000004</v>
      </c>
      <c r="I327" t="s">
        <v>907</v>
      </c>
      <c r="J327" t="s">
        <v>48</v>
      </c>
      <c r="K327" t="s">
        <v>1224</v>
      </c>
      <c r="L327" t="s">
        <v>488</v>
      </c>
    </row>
    <row r="328" spans="1:12" x14ac:dyDescent="0.3">
      <c r="A328" t="s">
        <v>382</v>
      </c>
      <c r="B328" t="s">
        <v>393</v>
      </c>
      <c r="C328" t="s">
        <v>890</v>
      </c>
      <c r="D328" s="4">
        <v>11.51</v>
      </c>
      <c r="E328" s="4">
        <v>0.49</v>
      </c>
      <c r="F328" s="4">
        <v>0.83899999999999997</v>
      </c>
      <c r="G328" s="4">
        <v>0.69199999999999995</v>
      </c>
      <c r="H328" s="4">
        <v>0.65400000000000003</v>
      </c>
      <c r="I328" t="s">
        <v>891</v>
      </c>
      <c r="J328" t="s">
        <v>892</v>
      </c>
      <c r="K328" t="s">
        <v>1225</v>
      </c>
      <c r="L328" t="s">
        <v>488</v>
      </c>
    </row>
    <row r="329" spans="1:12" x14ac:dyDescent="0.3">
      <c r="A329" t="s">
        <v>382</v>
      </c>
      <c r="B329" t="s">
        <v>437</v>
      </c>
      <c r="C329" t="s">
        <v>906</v>
      </c>
      <c r="D329" s="4">
        <v>7.26</v>
      </c>
      <c r="E329" s="4">
        <v>0.61199999999999999</v>
      </c>
      <c r="F329" s="4">
        <v>0.40799999999999997</v>
      </c>
      <c r="G329" s="4">
        <v>0.70199999999999996</v>
      </c>
      <c r="H329" s="4">
        <v>0.56999999999999995</v>
      </c>
      <c r="I329" t="s">
        <v>907</v>
      </c>
      <c r="J329" t="s">
        <v>892</v>
      </c>
      <c r="K329" t="s">
        <v>1226</v>
      </c>
      <c r="L329" t="s">
        <v>488</v>
      </c>
    </row>
    <row r="330" spans="1:12" x14ac:dyDescent="0.3">
      <c r="A330" t="s">
        <v>382</v>
      </c>
      <c r="B330" t="s">
        <v>418</v>
      </c>
      <c r="C330" t="s">
        <v>906</v>
      </c>
      <c r="D330" s="4">
        <v>26.93</v>
      </c>
      <c r="E330" s="4">
        <v>0.61299999999999999</v>
      </c>
      <c r="F330" s="4">
        <v>0.29299999999999998</v>
      </c>
      <c r="G330" s="4">
        <v>0.39</v>
      </c>
      <c r="H330" s="4">
        <v>0.45200000000000001</v>
      </c>
      <c r="I330" t="s">
        <v>907</v>
      </c>
      <c r="J330" t="s">
        <v>892</v>
      </c>
      <c r="K330" t="s">
        <v>1227</v>
      </c>
      <c r="L330" t="s">
        <v>488</v>
      </c>
    </row>
    <row r="331" spans="1:12" x14ac:dyDescent="0.3">
      <c r="A331" t="s">
        <v>384</v>
      </c>
      <c r="B331" t="s">
        <v>446</v>
      </c>
      <c r="C331" t="s">
        <v>912</v>
      </c>
      <c r="D331" s="4">
        <v>14.85</v>
      </c>
      <c r="E331" s="4">
        <v>0.82499999999999996</v>
      </c>
      <c r="F331" s="4">
        <v>0.38200000000000001</v>
      </c>
      <c r="G331" s="4">
        <v>0.747</v>
      </c>
      <c r="H331" s="4">
        <v>0.66300000000000003</v>
      </c>
      <c r="I331" t="s">
        <v>907</v>
      </c>
      <c r="J331" t="s">
        <v>48</v>
      </c>
      <c r="K331" t="s">
        <v>1228</v>
      </c>
      <c r="L331" t="s">
        <v>488</v>
      </c>
    </row>
    <row r="332" spans="1:12" x14ac:dyDescent="0.3">
      <c r="A332" t="s">
        <v>384</v>
      </c>
      <c r="B332" t="s">
        <v>428</v>
      </c>
      <c r="C332" t="s">
        <v>906</v>
      </c>
      <c r="D332" s="4">
        <v>20.98</v>
      </c>
      <c r="E332" s="4">
        <v>0.91500000000000004</v>
      </c>
      <c r="F332" s="4">
        <v>0.34599999999999997</v>
      </c>
      <c r="G332" s="4">
        <v>0.60399999999999998</v>
      </c>
      <c r="H332" s="4">
        <v>0.65200000000000002</v>
      </c>
      <c r="I332" t="s">
        <v>907</v>
      </c>
      <c r="J332" t="s">
        <v>48</v>
      </c>
      <c r="K332" t="s">
        <v>1229</v>
      </c>
      <c r="L332" t="s">
        <v>488</v>
      </c>
    </row>
    <row r="333" spans="1:12" x14ac:dyDescent="0.3">
      <c r="A333" t="s">
        <v>384</v>
      </c>
      <c r="B333" t="s">
        <v>405</v>
      </c>
      <c r="C333" t="s">
        <v>906</v>
      </c>
      <c r="D333" s="4">
        <v>23.81</v>
      </c>
      <c r="E333" s="4">
        <v>0.72799999999999998</v>
      </c>
      <c r="F333" s="4">
        <v>0.35799999999999998</v>
      </c>
      <c r="G333" s="4">
        <v>0.38800000000000001</v>
      </c>
      <c r="H333" s="4">
        <v>0.52100000000000002</v>
      </c>
      <c r="I333" t="s">
        <v>907</v>
      </c>
      <c r="J333" t="s">
        <v>48</v>
      </c>
      <c r="K333" t="s">
        <v>1230</v>
      </c>
      <c r="L333" t="s">
        <v>488</v>
      </c>
    </row>
    <row r="334" spans="1:12" x14ac:dyDescent="0.3">
      <c r="A334" t="s">
        <v>386</v>
      </c>
      <c r="B334" t="s">
        <v>396</v>
      </c>
      <c r="C334" t="s">
        <v>906</v>
      </c>
      <c r="D334" s="4">
        <v>9.4700000000000006</v>
      </c>
      <c r="E334" s="4">
        <v>0.73199999999999998</v>
      </c>
      <c r="F334" s="4">
        <v>0.45500000000000002</v>
      </c>
      <c r="G334" s="4">
        <v>0.83699999999999997</v>
      </c>
      <c r="H334" s="4">
        <v>0.67100000000000004</v>
      </c>
      <c r="I334" t="s">
        <v>907</v>
      </c>
      <c r="J334" t="s">
        <v>892</v>
      </c>
      <c r="K334" t="s">
        <v>1231</v>
      </c>
      <c r="L334" t="s">
        <v>488</v>
      </c>
    </row>
    <row r="335" spans="1:12" x14ac:dyDescent="0.3">
      <c r="A335" t="s">
        <v>386</v>
      </c>
      <c r="B335" t="s">
        <v>441</v>
      </c>
      <c r="C335" t="s">
        <v>896</v>
      </c>
      <c r="D335" s="4">
        <v>27.31</v>
      </c>
      <c r="E335" s="4">
        <v>0.67400000000000004</v>
      </c>
      <c r="F335" s="4">
        <v>0.71899999999999997</v>
      </c>
      <c r="G335" s="4">
        <v>0.63300000000000001</v>
      </c>
      <c r="H335" s="4">
        <v>0.67800000000000005</v>
      </c>
      <c r="I335" t="s">
        <v>891</v>
      </c>
      <c r="J335" t="s">
        <v>892</v>
      </c>
      <c r="K335" t="s">
        <v>1232</v>
      </c>
      <c r="L335" t="s">
        <v>488</v>
      </c>
    </row>
    <row r="336" spans="1:12" x14ac:dyDescent="0.3">
      <c r="A336" t="s">
        <v>386</v>
      </c>
      <c r="B336" t="s">
        <v>399</v>
      </c>
      <c r="C336" t="s">
        <v>896</v>
      </c>
      <c r="D336" s="4">
        <v>30</v>
      </c>
      <c r="E336" s="4">
        <v>0.88500000000000001</v>
      </c>
      <c r="F336" s="4">
        <v>0.73</v>
      </c>
      <c r="G336" s="4">
        <v>0.41599999999999998</v>
      </c>
      <c r="H336" s="4">
        <v>0.71399999999999997</v>
      </c>
      <c r="I336" t="s">
        <v>891</v>
      </c>
      <c r="J336" t="s">
        <v>892</v>
      </c>
      <c r="K336" t="s">
        <v>1233</v>
      </c>
      <c r="L336" t="s">
        <v>488</v>
      </c>
    </row>
    <row r="337" spans="1:12" x14ac:dyDescent="0.3">
      <c r="A337" t="s">
        <v>389</v>
      </c>
      <c r="B337" t="s">
        <v>448</v>
      </c>
      <c r="C337" t="s">
        <v>896</v>
      </c>
      <c r="D337" s="4">
        <v>19.170000000000002</v>
      </c>
      <c r="E337" s="4">
        <v>0.82399999999999995</v>
      </c>
      <c r="F337" s="4">
        <v>0.77200000000000002</v>
      </c>
      <c r="G337" s="4">
        <v>0.73</v>
      </c>
      <c r="H337" s="4">
        <v>0.78300000000000003</v>
      </c>
      <c r="I337" t="s">
        <v>891</v>
      </c>
      <c r="J337" t="s">
        <v>48</v>
      </c>
      <c r="K337" t="s">
        <v>1234</v>
      </c>
      <c r="L337" t="s">
        <v>488</v>
      </c>
    </row>
    <row r="338" spans="1:12" x14ac:dyDescent="0.3">
      <c r="A338" t="s">
        <v>389</v>
      </c>
      <c r="B338" t="s">
        <v>430</v>
      </c>
      <c r="C338" t="s">
        <v>912</v>
      </c>
      <c r="D338" s="4">
        <v>9.14</v>
      </c>
      <c r="E338" s="4">
        <v>0.84499999999999997</v>
      </c>
      <c r="F338" s="4">
        <v>0.38700000000000001</v>
      </c>
      <c r="G338" s="4">
        <v>0.80400000000000005</v>
      </c>
      <c r="H338" s="4">
        <v>0.68799999999999994</v>
      </c>
      <c r="I338" t="s">
        <v>907</v>
      </c>
      <c r="J338" t="s">
        <v>48</v>
      </c>
      <c r="K338" t="s">
        <v>1235</v>
      </c>
      <c r="L338" t="s">
        <v>488</v>
      </c>
    </row>
    <row r="339" spans="1:12" x14ac:dyDescent="0.3">
      <c r="A339" t="s">
        <v>389</v>
      </c>
      <c r="B339" t="s">
        <v>450</v>
      </c>
      <c r="C339" t="s">
        <v>896</v>
      </c>
      <c r="D339" s="4">
        <v>43.48</v>
      </c>
      <c r="E339" s="4">
        <v>0.92200000000000004</v>
      </c>
      <c r="F339" s="4">
        <v>0.629</v>
      </c>
      <c r="G339" s="4">
        <v>0.65700000000000003</v>
      </c>
      <c r="H339" s="4">
        <v>0.75900000000000001</v>
      </c>
      <c r="I339" t="s">
        <v>891</v>
      </c>
      <c r="J339" t="s">
        <v>48</v>
      </c>
      <c r="K339" t="s">
        <v>1236</v>
      </c>
      <c r="L339" t="s">
        <v>488</v>
      </c>
    </row>
    <row r="340" spans="1:12" x14ac:dyDescent="0.3">
      <c r="A340" t="s">
        <v>391</v>
      </c>
      <c r="B340" t="s">
        <v>420</v>
      </c>
      <c r="C340" t="s">
        <v>912</v>
      </c>
      <c r="D340" s="4">
        <v>48.8</v>
      </c>
      <c r="E340" s="4">
        <v>0.53900000000000003</v>
      </c>
      <c r="F340" s="4">
        <v>0.11899999999999999</v>
      </c>
      <c r="G340" s="4">
        <v>0.58099999999999996</v>
      </c>
      <c r="H340" s="4">
        <v>0.41599999999999998</v>
      </c>
      <c r="I340" t="s">
        <v>907</v>
      </c>
      <c r="J340" t="s">
        <v>892</v>
      </c>
      <c r="K340" t="s">
        <v>1237</v>
      </c>
      <c r="L340" t="s">
        <v>488</v>
      </c>
    </row>
    <row r="341" spans="1:12" x14ac:dyDescent="0.3">
      <c r="A341" t="s">
        <v>391</v>
      </c>
      <c r="B341" t="s">
        <v>408</v>
      </c>
      <c r="C341" t="s">
        <v>906</v>
      </c>
      <c r="D341" s="4">
        <v>50.72</v>
      </c>
      <c r="E341" s="4">
        <v>0.71399999999999997</v>
      </c>
      <c r="F341" s="4">
        <v>0.16500000000000001</v>
      </c>
      <c r="G341" s="4">
        <v>0.57999999999999996</v>
      </c>
      <c r="H341" s="4">
        <v>0.504</v>
      </c>
      <c r="I341" t="s">
        <v>907</v>
      </c>
      <c r="J341" t="s">
        <v>506</v>
      </c>
      <c r="K341" t="s">
        <v>1238</v>
      </c>
      <c r="L341" t="s">
        <v>488</v>
      </c>
    </row>
    <row r="342" spans="1:12" x14ac:dyDescent="0.3">
      <c r="A342" t="s">
        <v>391</v>
      </c>
      <c r="B342" t="s">
        <v>434</v>
      </c>
      <c r="C342" t="s">
        <v>906</v>
      </c>
      <c r="D342" s="4">
        <v>50.78</v>
      </c>
      <c r="E342" s="4">
        <v>0.49299999999999999</v>
      </c>
      <c r="F342" s="4">
        <v>0.17299999999999999</v>
      </c>
      <c r="G342" s="4">
        <v>0.45200000000000001</v>
      </c>
      <c r="H342" s="4">
        <v>0.38</v>
      </c>
      <c r="I342" t="s">
        <v>907</v>
      </c>
      <c r="J342" t="s">
        <v>892</v>
      </c>
      <c r="K342" t="s">
        <v>1239</v>
      </c>
      <c r="L342" t="s">
        <v>488</v>
      </c>
    </row>
    <row r="343" spans="1:12" x14ac:dyDescent="0.3">
      <c r="A343" t="s">
        <v>391</v>
      </c>
      <c r="B343" t="s">
        <v>401</v>
      </c>
      <c r="C343" t="s">
        <v>906</v>
      </c>
      <c r="D343" s="4">
        <v>51.6</v>
      </c>
      <c r="E343" s="4">
        <v>0.497</v>
      </c>
      <c r="F343" s="4">
        <v>0.16600000000000001</v>
      </c>
      <c r="G343" s="4">
        <v>0.53500000000000003</v>
      </c>
      <c r="H343" s="4">
        <v>0.40100000000000002</v>
      </c>
      <c r="I343" t="s">
        <v>907</v>
      </c>
      <c r="J343" t="s">
        <v>892</v>
      </c>
      <c r="K343" t="s">
        <v>1240</v>
      </c>
      <c r="L343" t="s">
        <v>488</v>
      </c>
    </row>
    <row r="344" spans="1:12" x14ac:dyDescent="0.3">
      <c r="A344" t="s">
        <v>393</v>
      </c>
      <c r="B344" t="s">
        <v>437</v>
      </c>
      <c r="C344" t="s">
        <v>906</v>
      </c>
      <c r="D344" s="4">
        <v>8.94</v>
      </c>
      <c r="E344" s="4">
        <v>0.82</v>
      </c>
      <c r="F344" s="4">
        <v>0.38700000000000001</v>
      </c>
      <c r="G344" s="4">
        <v>0.49299999999999999</v>
      </c>
      <c r="H344" s="4">
        <v>0.59599999999999997</v>
      </c>
      <c r="I344" t="s">
        <v>907</v>
      </c>
      <c r="J344" t="s">
        <v>48</v>
      </c>
      <c r="K344" t="s">
        <v>1241</v>
      </c>
      <c r="L344" t="s">
        <v>488</v>
      </c>
    </row>
    <row r="345" spans="1:12" x14ac:dyDescent="0.3">
      <c r="A345" t="s">
        <v>393</v>
      </c>
      <c r="B345" t="s">
        <v>418</v>
      </c>
      <c r="C345" t="s">
        <v>906</v>
      </c>
      <c r="D345" s="4">
        <v>16.63</v>
      </c>
      <c r="E345" s="4">
        <v>0.79100000000000004</v>
      </c>
      <c r="F345" s="4">
        <v>0.35399999999999998</v>
      </c>
      <c r="G345" s="4">
        <v>0.58399999999999996</v>
      </c>
      <c r="H345" s="4">
        <v>0.59799999999999998</v>
      </c>
      <c r="I345" t="s">
        <v>907</v>
      </c>
      <c r="J345" t="s">
        <v>48</v>
      </c>
      <c r="K345" t="s">
        <v>1242</v>
      </c>
      <c r="L345" t="s">
        <v>488</v>
      </c>
    </row>
    <row r="346" spans="1:12" x14ac:dyDescent="0.3">
      <c r="A346" t="s">
        <v>399</v>
      </c>
      <c r="B346" t="s">
        <v>439</v>
      </c>
      <c r="C346" t="s">
        <v>896</v>
      </c>
      <c r="D346" s="4">
        <v>16.399999999999999</v>
      </c>
      <c r="E346" s="4">
        <v>0.71399999999999997</v>
      </c>
      <c r="F346" s="4">
        <v>0.82199999999999995</v>
      </c>
      <c r="G346" s="4">
        <v>0.49</v>
      </c>
      <c r="H346" s="4">
        <v>0.69</v>
      </c>
      <c r="I346" t="s">
        <v>891</v>
      </c>
      <c r="J346" t="s">
        <v>892</v>
      </c>
      <c r="K346" t="s">
        <v>1243</v>
      </c>
      <c r="L346" t="s">
        <v>488</v>
      </c>
    </row>
    <row r="347" spans="1:12" x14ac:dyDescent="0.3">
      <c r="A347" t="s">
        <v>399</v>
      </c>
      <c r="B347" t="s">
        <v>441</v>
      </c>
      <c r="C347" t="s">
        <v>896</v>
      </c>
      <c r="D347" s="4">
        <v>22.93</v>
      </c>
      <c r="E347" s="4">
        <v>0.63300000000000001</v>
      </c>
      <c r="F347" s="4">
        <v>0.74299999999999999</v>
      </c>
      <c r="G347" s="4">
        <v>0.73099999999999998</v>
      </c>
      <c r="H347" s="4">
        <v>0.69399999999999995</v>
      </c>
      <c r="I347" t="s">
        <v>891</v>
      </c>
      <c r="J347" t="s">
        <v>48</v>
      </c>
      <c r="K347" t="s">
        <v>1244</v>
      </c>
      <c r="L347" t="s">
        <v>488</v>
      </c>
    </row>
    <row r="348" spans="1:12" x14ac:dyDescent="0.3">
      <c r="A348" t="s">
        <v>399</v>
      </c>
      <c r="B348" t="s">
        <v>414</v>
      </c>
      <c r="C348" t="s">
        <v>912</v>
      </c>
      <c r="D348" s="4">
        <v>26.49</v>
      </c>
      <c r="E348" s="4">
        <v>0.90700000000000003</v>
      </c>
      <c r="F348" s="4">
        <v>0.32900000000000001</v>
      </c>
      <c r="G348" s="4">
        <v>0.496</v>
      </c>
      <c r="H348" s="4">
        <v>0.61499999999999999</v>
      </c>
      <c r="I348" t="s">
        <v>907</v>
      </c>
      <c r="J348" t="s">
        <v>48</v>
      </c>
      <c r="K348" t="s">
        <v>1245</v>
      </c>
      <c r="L348" t="s">
        <v>488</v>
      </c>
    </row>
    <row r="349" spans="1:12" x14ac:dyDescent="0.3">
      <c r="A349" t="s">
        <v>401</v>
      </c>
      <c r="B349" t="s">
        <v>434</v>
      </c>
      <c r="C349" t="s">
        <v>906</v>
      </c>
      <c r="D349" s="4">
        <v>15.44</v>
      </c>
      <c r="E349" s="4">
        <v>0.92700000000000005</v>
      </c>
      <c r="F349" s="4">
        <v>0.41</v>
      </c>
      <c r="G349" s="4">
        <v>0.60299999999999998</v>
      </c>
      <c r="H349" s="4">
        <v>0.67700000000000005</v>
      </c>
      <c r="I349" t="s">
        <v>907</v>
      </c>
      <c r="J349" t="s">
        <v>48</v>
      </c>
      <c r="K349" t="s">
        <v>1246</v>
      </c>
      <c r="L349" t="s">
        <v>488</v>
      </c>
    </row>
    <row r="350" spans="1:12" x14ac:dyDescent="0.3">
      <c r="A350" t="s">
        <v>401</v>
      </c>
      <c r="B350" t="s">
        <v>420</v>
      </c>
      <c r="C350" t="s">
        <v>906</v>
      </c>
      <c r="D350" s="4">
        <v>19.5</v>
      </c>
      <c r="E350" s="4">
        <v>0.81799999999999995</v>
      </c>
      <c r="F350" s="4">
        <v>0.35099999999999998</v>
      </c>
      <c r="G350" s="4">
        <v>0.72499999999999998</v>
      </c>
      <c r="H350" s="4">
        <v>0.64400000000000002</v>
      </c>
      <c r="I350" t="s">
        <v>907</v>
      </c>
      <c r="J350" t="s">
        <v>48</v>
      </c>
      <c r="K350" t="s">
        <v>1247</v>
      </c>
      <c r="L350" t="s">
        <v>488</v>
      </c>
    </row>
    <row r="351" spans="1:12" x14ac:dyDescent="0.3">
      <c r="A351" t="s">
        <v>401</v>
      </c>
      <c r="B351" t="s">
        <v>432</v>
      </c>
      <c r="C351" t="s">
        <v>906</v>
      </c>
      <c r="D351" s="4">
        <v>37.950000000000003</v>
      </c>
      <c r="E351" s="4">
        <v>0.83</v>
      </c>
      <c r="F351" s="4">
        <v>0.19400000000000001</v>
      </c>
      <c r="G351" s="4">
        <v>0.39</v>
      </c>
      <c r="H351" s="4">
        <v>0.51200000000000001</v>
      </c>
      <c r="I351" t="s">
        <v>907</v>
      </c>
      <c r="J351" t="s">
        <v>48</v>
      </c>
      <c r="K351" t="s">
        <v>1248</v>
      </c>
      <c r="L351" t="s">
        <v>488</v>
      </c>
    </row>
    <row r="352" spans="1:12" x14ac:dyDescent="0.3">
      <c r="A352" t="s">
        <v>401</v>
      </c>
      <c r="B352" t="s">
        <v>446</v>
      </c>
      <c r="C352" t="s">
        <v>896</v>
      </c>
      <c r="D352" s="4">
        <v>54.1</v>
      </c>
      <c r="E352" s="4">
        <v>0.84</v>
      </c>
      <c r="F352" s="4">
        <v>0.52900000000000003</v>
      </c>
      <c r="G352" s="4">
        <v>0.151</v>
      </c>
      <c r="H352" s="4">
        <v>0.56100000000000005</v>
      </c>
      <c r="I352" t="s">
        <v>891</v>
      </c>
      <c r="J352" t="s">
        <v>48</v>
      </c>
      <c r="K352" t="s">
        <v>1249</v>
      </c>
      <c r="L352" t="s">
        <v>488</v>
      </c>
    </row>
    <row r="353" spans="1:12" x14ac:dyDescent="0.3">
      <c r="A353" t="s">
        <v>403</v>
      </c>
      <c r="B353" t="s">
        <v>435</v>
      </c>
      <c r="C353" t="s">
        <v>912</v>
      </c>
      <c r="D353" s="4">
        <v>16.489999999999998</v>
      </c>
      <c r="E353" s="4">
        <v>0.78900000000000003</v>
      </c>
      <c r="F353" s="4">
        <v>0.36799999999999999</v>
      </c>
      <c r="G353" s="4">
        <v>0.435</v>
      </c>
      <c r="H353" s="4">
        <v>0.56200000000000006</v>
      </c>
      <c r="I353" t="s">
        <v>907</v>
      </c>
      <c r="J353" t="s">
        <v>48</v>
      </c>
      <c r="K353" t="s">
        <v>1250</v>
      </c>
      <c r="L353" t="s">
        <v>488</v>
      </c>
    </row>
    <row r="354" spans="1:12" x14ac:dyDescent="0.3">
      <c r="A354" t="s">
        <v>403</v>
      </c>
      <c r="B354" t="s">
        <v>416</v>
      </c>
      <c r="C354" t="s">
        <v>906</v>
      </c>
      <c r="D354" s="4">
        <v>21.1</v>
      </c>
      <c r="E354" s="4">
        <v>0.72899999999999998</v>
      </c>
      <c r="F354" s="4">
        <v>0.35799999999999998</v>
      </c>
      <c r="G354" s="4">
        <v>0.52300000000000002</v>
      </c>
      <c r="H354" s="4">
        <v>0.55700000000000005</v>
      </c>
      <c r="I354" t="s">
        <v>907</v>
      </c>
      <c r="J354" t="s">
        <v>48</v>
      </c>
      <c r="K354" t="s">
        <v>1251</v>
      </c>
      <c r="L354" t="s">
        <v>488</v>
      </c>
    </row>
    <row r="355" spans="1:12" x14ac:dyDescent="0.3">
      <c r="A355" t="s">
        <v>403</v>
      </c>
      <c r="B355" t="s">
        <v>426</v>
      </c>
      <c r="C355" t="s">
        <v>912</v>
      </c>
      <c r="D355" s="4">
        <v>25.91</v>
      </c>
      <c r="E355" s="4">
        <v>0.79700000000000004</v>
      </c>
      <c r="F355" s="4">
        <v>0.28000000000000003</v>
      </c>
      <c r="G355" s="4">
        <v>0.44</v>
      </c>
      <c r="H355" s="4">
        <v>0.53900000000000003</v>
      </c>
      <c r="I355" t="s">
        <v>907</v>
      </c>
      <c r="J355" t="s">
        <v>48</v>
      </c>
      <c r="K355" t="s">
        <v>1252</v>
      </c>
      <c r="L355" t="s">
        <v>488</v>
      </c>
    </row>
    <row r="356" spans="1:12" x14ac:dyDescent="0.3">
      <c r="A356" t="s">
        <v>403</v>
      </c>
      <c r="B356" t="s">
        <v>428</v>
      </c>
      <c r="C356" t="s">
        <v>912</v>
      </c>
      <c r="D356" s="4">
        <v>28.05</v>
      </c>
      <c r="E356" s="4">
        <v>0.88900000000000001</v>
      </c>
      <c r="F356" s="4">
        <v>0.25800000000000001</v>
      </c>
      <c r="G356" s="4">
        <v>0.74299999999999999</v>
      </c>
      <c r="H356" s="4">
        <v>0.64900000000000002</v>
      </c>
      <c r="I356" t="s">
        <v>907</v>
      </c>
      <c r="J356" t="s">
        <v>48</v>
      </c>
      <c r="K356" t="s">
        <v>1253</v>
      </c>
      <c r="L356" t="s">
        <v>488</v>
      </c>
    </row>
    <row r="357" spans="1:12" x14ac:dyDescent="0.3">
      <c r="A357" t="s">
        <v>405</v>
      </c>
      <c r="B357" t="s">
        <v>432</v>
      </c>
      <c r="C357" t="s">
        <v>890</v>
      </c>
      <c r="D357" s="4">
        <v>5.98</v>
      </c>
      <c r="E357" s="4">
        <v>0.89700000000000002</v>
      </c>
      <c r="F357" s="4">
        <v>0.84899999999999998</v>
      </c>
      <c r="G357" s="4">
        <v>0.76500000000000001</v>
      </c>
      <c r="H357" s="4">
        <v>0.84799999999999998</v>
      </c>
      <c r="I357" t="s">
        <v>891</v>
      </c>
      <c r="J357" t="s">
        <v>48</v>
      </c>
      <c r="K357" t="s">
        <v>1254</v>
      </c>
      <c r="L357" t="s">
        <v>488</v>
      </c>
    </row>
    <row r="358" spans="1:12" x14ac:dyDescent="0.3">
      <c r="A358" t="s">
        <v>405</v>
      </c>
      <c r="B358" t="s">
        <v>446</v>
      </c>
      <c r="C358" t="s">
        <v>906</v>
      </c>
      <c r="D358" s="4">
        <v>16.68</v>
      </c>
      <c r="E358" s="4">
        <v>0.85799999999999998</v>
      </c>
      <c r="F358" s="4">
        <v>0.32400000000000001</v>
      </c>
      <c r="G358" s="4">
        <v>0.76400000000000001</v>
      </c>
      <c r="H358" s="4">
        <v>0.66200000000000003</v>
      </c>
      <c r="I358" t="s">
        <v>907</v>
      </c>
      <c r="J358" t="s">
        <v>48</v>
      </c>
      <c r="K358" t="s">
        <v>1255</v>
      </c>
      <c r="L358" t="s">
        <v>488</v>
      </c>
    </row>
    <row r="359" spans="1:12" x14ac:dyDescent="0.3">
      <c r="A359" t="s">
        <v>408</v>
      </c>
      <c r="B359" t="s">
        <v>412</v>
      </c>
      <c r="C359" t="s">
        <v>906</v>
      </c>
      <c r="D359" s="4">
        <v>14.3</v>
      </c>
      <c r="E359" s="4">
        <v>0.72299999999999998</v>
      </c>
      <c r="F359" s="4">
        <v>0.40899999999999997</v>
      </c>
      <c r="G359" s="4">
        <v>0.66</v>
      </c>
      <c r="H359" s="4">
        <v>0.60599999999999998</v>
      </c>
      <c r="I359" t="s">
        <v>907</v>
      </c>
      <c r="J359" t="s">
        <v>892</v>
      </c>
      <c r="K359" t="s">
        <v>1256</v>
      </c>
      <c r="L359" t="s">
        <v>488</v>
      </c>
    </row>
    <row r="360" spans="1:12" x14ac:dyDescent="0.3">
      <c r="A360" t="s">
        <v>408</v>
      </c>
      <c r="B360" t="s">
        <v>420</v>
      </c>
      <c r="C360" t="s">
        <v>906</v>
      </c>
      <c r="D360" s="4">
        <v>31.71</v>
      </c>
      <c r="E360" s="4">
        <v>0.82499999999999996</v>
      </c>
      <c r="F360" s="4">
        <v>0.255</v>
      </c>
      <c r="G360" s="4">
        <v>0.39800000000000002</v>
      </c>
      <c r="H360" s="4">
        <v>0.53200000000000003</v>
      </c>
      <c r="I360" t="s">
        <v>907</v>
      </c>
      <c r="J360" t="s">
        <v>892</v>
      </c>
      <c r="K360" t="s">
        <v>1257</v>
      </c>
      <c r="L360" t="s">
        <v>488</v>
      </c>
    </row>
    <row r="361" spans="1:12" x14ac:dyDescent="0.3">
      <c r="A361" t="s">
        <v>408</v>
      </c>
      <c r="B361" t="s">
        <v>430</v>
      </c>
      <c r="C361" t="s">
        <v>906</v>
      </c>
      <c r="D361" s="4">
        <v>36.78</v>
      </c>
      <c r="E361" s="4">
        <v>0.83</v>
      </c>
      <c r="F361" s="4">
        <v>0.188</v>
      </c>
      <c r="G361" s="4">
        <v>0.57699999999999996</v>
      </c>
      <c r="H361" s="4">
        <v>0.55900000000000005</v>
      </c>
      <c r="I361" t="s">
        <v>907</v>
      </c>
      <c r="J361" t="s">
        <v>892</v>
      </c>
      <c r="K361" t="s">
        <v>1258</v>
      </c>
      <c r="L361" t="s">
        <v>488</v>
      </c>
    </row>
    <row r="362" spans="1:12" x14ac:dyDescent="0.3">
      <c r="A362" t="s">
        <v>408</v>
      </c>
      <c r="B362" t="s">
        <v>389</v>
      </c>
      <c r="C362" t="s">
        <v>906</v>
      </c>
      <c r="D362" s="4">
        <v>44.21</v>
      </c>
      <c r="E362" s="4">
        <v>0.91800000000000004</v>
      </c>
      <c r="F362" s="4">
        <v>0.19900000000000001</v>
      </c>
      <c r="G362" s="4">
        <v>0.29099999999999998</v>
      </c>
      <c r="H362" s="4">
        <v>0.52500000000000002</v>
      </c>
      <c r="I362" t="s">
        <v>907</v>
      </c>
      <c r="J362" t="s">
        <v>892</v>
      </c>
      <c r="K362" t="s">
        <v>1259</v>
      </c>
      <c r="L362" t="s">
        <v>488</v>
      </c>
    </row>
    <row r="363" spans="1:12" x14ac:dyDescent="0.3">
      <c r="A363" t="s">
        <v>410</v>
      </c>
      <c r="B363" t="s">
        <v>422</v>
      </c>
      <c r="C363" t="s">
        <v>890</v>
      </c>
      <c r="D363" s="4">
        <v>6.92</v>
      </c>
      <c r="E363" s="4">
        <v>0.88700000000000001</v>
      </c>
      <c r="F363" s="4">
        <v>0.89400000000000002</v>
      </c>
      <c r="G363" s="4">
        <v>0.69699999999999995</v>
      </c>
      <c r="H363" s="4">
        <v>0.84</v>
      </c>
      <c r="I363" t="s">
        <v>891</v>
      </c>
      <c r="J363" t="s">
        <v>48</v>
      </c>
      <c r="K363" t="s">
        <v>1260</v>
      </c>
      <c r="L363" t="s">
        <v>488</v>
      </c>
    </row>
    <row r="364" spans="1:12" x14ac:dyDescent="0.3">
      <c r="A364" t="s">
        <v>410</v>
      </c>
      <c r="B364" t="s">
        <v>439</v>
      </c>
      <c r="C364" t="s">
        <v>912</v>
      </c>
      <c r="D364" s="4">
        <v>13.16</v>
      </c>
      <c r="E364" s="4">
        <v>0.69899999999999995</v>
      </c>
      <c r="F364" s="4">
        <v>0.40300000000000002</v>
      </c>
      <c r="G364" s="4">
        <v>0.73799999999999999</v>
      </c>
      <c r="H364" s="4">
        <v>0.61399999999999999</v>
      </c>
      <c r="I364" t="s">
        <v>907</v>
      </c>
      <c r="J364" t="s">
        <v>892</v>
      </c>
      <c r="K364" t="s">
        <v>1261</v>
      </c>
      <c r="L364" t="s">
        <v>488</v>
      </c>
    </row>
    <row r="365" spans="1:12" x14ac:dyDescent="0.3">
      <c r="A365" t="s">
        <v>410</v>
      </c>
      <c r="B365" t="s">
        <v>414</v>
      </c>
      <c r="C365" t="s">
        <v>906</v>
      </c>
      <c r="D365" s="4">
        <v>13.87</v>
      </c>
      <c r="E365" s="4">
        <v>0.93600000000000005</v>
      </c>
      <c r="F365" s="4">
        <v>0.44700000000000001</v>
      </c>
      <c r="G365" s="4">
        <v>0.78200000000000003</v>
      </c>
      <c r="H365" s="4">
        <v>0.73899999999999999</v>
      </c>
      <c r="I365" t="s">
        <v>907</v>
      </c>
      <c r="J365" t="s">
        <v>48</v>
      </c>
      <c r="K365" t="s">
        <v>1262</v>
      </c>
      <c r="L365" t="s">
        <v>488</v>
      </c>
    </row>
    <row r="366" spans="1:12" x14ac:dyDescent="0.3">
      <c r="A366" t="s">
        <v>410</v>
      </c>
      <c r="B366" t="s">
        <v>399</v>
      </c>
      <c r="C366" t="s">
        <v>906</v>
      </c>
      <c r="D366" s="4">
        <v>29.17</v>
      </c>
      <c r="E366" s="4">
        <v>0.96099999999999997</v>
      </c>
      <c r="F366" s="4">
        <v>0.31900000000000001</v>
      </c>
      <c r="G366" s="4">
        <v>0.63300000000000001</v>
      </c>
      <c r="H366" s="4">
        <v>0.67100000000000004</v>
      </c>
      <c r="I366" t="s">
        <v>907</v>
      </c>
      <c r="J366" t="s">
        <v>48</v>
      </c>
      <c r="K366" t="s">
        <v>1263</v>
      </c>
      <c r="L366" t="s">
        <v>488</v>
      </c>
    </row>
    <row r="367" spans="1:12" x14ac:dyDescent="0.3">
      <c r="A367" t="s">
        <v>412</v>
      </c>
      <c r="B367" t="s">
        <v>450</v>
      </c>
      <c r="C367" t="s">
        <v>896</v>
      </c>
      <c r="D367" s="4">
        <v>45.16</v>
      </c>
      <c r="E367" s="4">
        <v>0.78500000000000003</v>
      </c>
      <c r="F367" s="4">
        <v>0.67900000000000005</v>
      </c>
      <c r="G367" s="4">
        <v>0.59</v>
      </c>
      <c r="H367" s="4">
        <v>0.7</v>
      </c>
      <c r="I367" t="s">
        <v>891</v>
      </c>
      <c r="J367" t="s">
        <v>928</v>
      </c>
      <c r="K367" t="s">
        <v>1264</v>
      </c>
      <c r="L367" t="s">
        <v>488</v>
      </c>
    </row>
    <row r="368" spans="1:12" x14ac:dyDescent="0.3">
      <c r="A368" t="s">
        <v>412</v>
      </c>
      <c r="B368" t="s">
        <v>389</v>
      </c>
      <c r="C368" t="s">
        <v>896</v>
      </c>
      <c r="D368" s="4">
        <v>48.23</v>
      </c>
      <c r="E368" s="4">
        <v>0.77200000000000002</v>
      </c>
      <c r="F368" s="4">
        <v>0.59499999999999997</v>
      </c>
      <c r="G368" s="4">
        <v>0.36099999999999999</v>
      </c>
      <c r="H368" s="4">
        <v>0.60899999999999999</v>
      </c>
      <c r="I368" t="s">
        <v>891</v>
      </c>
      <c r="J368" t="s">
        <v>928</v>
      </c>
      <c r="K368" t="s">
        <v>1265</v>
      </c>
      <c r="L368" t="s">
        <v>488</v>
      </c>
    </row>
    <row r="369" spans="1:12" x14ac:dyDescent="0.3">
      <c r="A369" t="s">
        <v>412</v>
      </c>
      <c r="B369" t="s">
        <v>448</v>
      </c>
      <c r="C369" t="s">
        <v>896</v>
      </c>
      <c r="D369" s="4">
        <v>48.43</v>
      </c>
      <c r="E369" s="4">
        <v>0.77900000000000003</v>
      </c>
      <c r="F369" s="4">
        <v>0.59299999999999997</v>
      </c>
      <c r="G369" s="4">
        <v>0.53500000000000003</v>
      </c>
      <c r="H369" s="4">
        <v>0.65600000000000003</v>
      </c>
      <c r="I369" t="s">
        <v>891</v>
      </c>
      <c r="J369" t="s">
        <v>928</v>
      </c>
      <c r="K369" t="s">
        <v>1266</v>
      </c>
      <c r="L369" t="s">
        <v>488</v>
      </c>
    </row>
    <row r="370" spans="1:12" x14ac:dyDescent="0.3">
      <c r="A370" t="s">
        <v>414</v>
      </c>
      <c r="B370" t="s">
        <v>422</v>
      </c>
      <c r="C370" t="s">
        <v>912</v>
      </c>
      <c r="D370" s="4">
        <v>12.7</v>
      </c>
      <c r="E370" s="4">
        <v>0.94799999999999995</v>
      </c>
      <c r="F370" s="4">
        <v>0.35699999999999998</v>
      </c>
      <c r="G370" s="4">
        <v>0.78700000000000003</v>
      </c>
      <c r="H370" s="4">
        <v>0.71699999999999997</v>
      </c>
      <c r="I370" t="s">
        <v>907</v>
      </c>
      <c r="J370" t="s">
        <v>48</v>
      </c>
      <c r="K370" t="s">
        <v>1267</v>
      </c>
      <c r="L370" t="s">
        <v>488</v>
      </c>
    </row>
    <row r="371" spans="1:12" x14ac:dyDescent="0.3">
      <c r="A371" t="s">
        <v>414</v>
      </c>
      <c r="B371" t="s">
        <v>439</v>
      </c>
      <c r="C371" t="s">
        <v>906</v>
      </c>
      <c r="D371" s="4">
        <v>16.559999999999999</v>
      </c>
      <c r="E371" s="4">
        <v>0.76300000000000001</v>
      </c>
      <c r="F371" s="4">
        <v>0.32</v>
      </c>
      <c r="G371" s="4">
        <v>0.58399999999999996</v>
      </c>
      <c r="H371" s="4">
        <v>0.57499999999999996</v>
      </c>
      <c r="I371" t="s">
        <v>907</v>
      </c>
      <c r="J371" t="s">
        <v>892</v>
      </c>
      <c r="K371" t="s">
        <v>1268</v>
      </c>
      <c r="L371" t="s">
        <v>488</v>
      </c>
    </row>
    <row r="372" spans="1:12" x14ac:dyDescent="0.3">
      <c r="A372" t="s">
        <v>416</v>
      </c>
      <c r="B372" t="s">
        <v>426</v>
      </c>
      <c r="C372" t="s">
        <v>906</v>
      </c>
      <c r="D372" s="4">
        <v>21.9</v>
      </c>
      <c r="E372" s="4">
        <v>0.749</v>
      </c>
      <c r="F372" s="4">
        <v>0.28699999999999998</v>
      </c>
      <c r="G372" s="4">
        <v>0.53100000000000003</v>
      </c>
      <c r="H372" s="4">
        <v>0.54400000000000004</v>
      </c>
      <c r="I372" t="s">
        <v>907</v>
      </c>
      <c r="J372" t="s">
        <v>48</v>
      </c>
      <c r="K372" t="s">
        <v>1269</v>
      </c>
      <c r="L372" t="s">
        <v>488</v>
      </c>
    </row>
    <row r="373" spans="1:12" x14ac:dyDescent="0.3">
      <c r="A373" t="s">
        <v>416</v>
      </c>
      <c r="B373" t="s">
        <v>428</v>
      </c>
      <c r="C373" t="s">
        <v>896</v>
      </c>
      <c r="D373" s="4">
        <v>42.14</v>
      </c>
      <c r="E373" s="4">
        <v>0.84</v>
      </c>
      <c r="F373" s="4">
        <v>0.64500000000000002</v>
      </c>
      <c r="G373" s="4">
        <v>0.63700000000000001</v>
      </c>
      <c r="H373" s="4">
        <v>0.72499999999999998</v>
      </c>
      <c r="I373" t="s">
        <v>891</v>
      </c>
      <c r="J373" t="s">
        <v>48</v>
      </c>
      <c r="K373" t="s">
        <v>1270</v>
      </c>
      <c r="L373" t="s">
        <v>488</v>
      </c>
    </row>
    <row r="374" spans="1:12" x14ac:dyDescent="0.3">
      <c r="A374" t="s">
        <v>416</v>
      </c>
      <c r="B374" t="s">
        <v>435</v>
      </c>
      <c r="C374" t="s">
        <v>906</v>
      </c>
      <c r="D374" s="4">
        <v>30.1</v>
      </c>
      <c r="E374" s="4">
        <v>0.77400000000000002</v>
      </c>
      <c r="F374" s="4">
        <v>0.25600000000000001</v>
      </c>
      <c r="G374" s="4">
        <v>0.56000000000000005</v>
      </c>
      <c r="H374" s="4">
        <v>0.55300000000000005</v>
      </c>
      <c r="I374" t="s">
        <v>907</v>
      </c>
      <c r="J374" t="s">
        <v>48</v>
      </c>
      <c r="K374" t="s">
        <v>1271</v>
      </c>
      <c r="L374" t="s">
        <v>488</v>
      </c>
    </row>
    <row r="375" spans="1:12" x14ac:dyDescent="0.3">
      <c r="A375" t="s">
        <v>418</v>
      </c>
      <c r="B375" t="s">
        <v>437</v>
      </c>
      <c r="C375" t="s">
        <v>896</v>
      </c>
      <c r="D375" s="4">
        <v>21.02</v>
      </c>
      <c r="E375" s="4">
        <v>0.95</v>
      </c>
      <c r="F375" s="4">
        <v>0.77300000000000002</v>
      </c>
      <c r="G375" s="4">
        <v>0.61399999999999999</v>
      </c>
      <c r="H375" s="4">
        <v>0.80600000000000005</v>
      </c>
      <c r="I375" t="s">
        <v>891</v>
      </c>
      <c r="J375" t="s">
        <v>48</v>
      </c>
      <c r="K375" t="s">
        <v>1272</v>
      </c>
      <c r="L375" t="s">
        <v>488</v>
      </c>
    </row>
    <row r="376" spans="1:12" x14ac:dyDescent="0.3">
      <c r="A376" t="s">
        <v>418</v>
      </c>
      <c r="B376" t="s">
        <v>435</v>
      </c>
      <c r="C376" t="s">
        <v>912</v>
      </c>
      <c r="D376" s="4">
        <v>24.71</v>
      </c>
      <c r="E376" s="4">
        <v>0.70699999999999996</v>
      </c>
      <c r="F376" s="4">
        <v>0.25900000000000001</v>
      </c>
      <c r="G376" s="4">
        <v>0.40699999999999997</v>
      </c>
      <c r="H376" s="4">
        <v>0.48599999999999999</v>
      </c>
      <c r="I376" t="s">
        <v>907</v>
      </c>
      <c r="J376" t="s">
        <v>48</v>
      </c>
      <c r="K376" t="s">
        <v>1273</v>
      </c>
      <c r="L376" t="s">
        <v>488</v>
      </c>
    </row>
    <row r="377" spans="1:12" x14ac:dyDescent="0.3">
      <c r="A377" t="s">
        <v>420</v>
      </c>
      <c r="B377" t="s">
        <v>434</v>
      </c>
      <c r="C377" t="s">
        <v>896</v>
      </c>
      <c r="D377" s="4">
        <v>33.69</v>
      </c>
      <c r="E377" s="4">
        <v>0.89100000000000001</v>
      </c>
      <c r="F377" s="4">
        <v>0.74299999999999999</v>
      </c>
      <c r="G377" s="4">
        <v>0.66700000000000004</v>
      </c>
      <c r="H377" s="4">
        <v>0.78600000000000003</v>
      </c>
      <c r="I377" t="s">
        <v>891</v>
      </c>
      <c r="J377" t="s">
        <v>48</v>
      </c>
      <c r="K377" t="s">
        <v>1274</v>
      </c>
      <c r="L377" t="s">
        <v>488</v>
      </c>
    </row>
    <row r="378" spans="1:12" x14ac:dyDescent="0.3">
      <c r="A378" t="s">
        <v>422</v>
      </c>
      <c r="B378" t="s">
        <v>439</v>
      </c>
      <c r="C378" t="s">
        <v>906</v>
      </c>
      <c r="D378" s="4">
        <v>19.059999999999999</v>
      </c>
      <c r="E378" s="4">
        <v>0.81200000000000006</v>
      </c>
      <c r="F378" s="4">
        <v>0.34100000000000003</v>
      </c>
      <c r="G378" s="4">
        <v>0.69799999999999995</v>
      </c>
      <c r="H378" s="4">
        <v>0.63200000000000001</v>
      </c>
      <c r="I378" t="s">
        <v>907</v>
      </c>
      <c r="J378" t="s">
        <v>892</v>
      </c>
      <c r="K378" t="s">
        <v>1275</v>
      </c>
      <c r="L378" t="s">
        <v>488</v>
      </c>
    </row>
    <row r="379" spans="1:12" x14ac:dyDescent="0.3">
      <c r="A379" t="s">
        <v>422</v>
      </c>
      <c r="B379" t="s">
        <v>399</v>
      </c>
      <c r="C379" t="s">
        <v>912</v>
      </c>
      <c r="D379" s="4">
        <v>34.090000000000003</v>
      </c>
      <c r="E379" s="4">
        <v>0.874</v>
      </c>
      <c r="F379" s="4">
        <v>0.255</v>
      </c>
      <c r="G379" s="4">
        <v>0.71399999999999997</v>
      </c>
      <c r="H379" s="4">
        <v>0.63400000000000001</v>
      </c>
      <c r="I379" t="s">
        <v>907</v>
      </c>
      <c r="J379" t="s">
        <v>48</v>
      </c>
      <c r="K379" t="s">
        <v>1276</v>
      </c>
      <c r="L379" t="s">
        <v>488</v>
      </c>
    </row>
    <row r="380" spans="1:12" x14ac:dyDescent="0.3">
      <c r="A380" t="s">
        <v>424</v>
      </c>
      <c r="B380" t="s">
        <v>434</v>
      </c>
      <c r="C380" t="s">
        <v>896</v>
      </c>
      <c r="D380" s="4">
        <v>29.51</v>
      </c>
      <c r="E380" s="4">
        <v>0.79</v>
      </c>
      <c r="F380" s="4">
        <v>0.745</v>
      </c>
      <c r="G380" s="4">
        <v>0.36</v>
      </c>
      <c r="H380" s="4">
        <v>0.66400000000000003</v>
      </c>
      <c r="I380" t="s">
        <v>891</v>
      </c>
      <c r="J380" t="s">
        <v>48</v>
      </c>
      <c r="K380" t="s">
        <v>1277</v>
      </c>
      <c r="L380" t="s">
        <v>488</v>
      </c>
    </row>
    <row r="381" spans="1:12" x14ac:dyDescent="0.3">
      <c r="A381" t="s">
        <v>424</v>
      </c>
      <c r="B381" t="s">
        <v>365</v>
      </c>
      <c r="C381" t="s">
        <v>906</v>
      </c>
      <c r="D381" s="4">
        <v>37.28</v>
      </c>
      <c r="E381" s="4">
        <v>0.879</v>
      </c>
      <c r="F381" s="4">
        <v>0.22</v>
      </c>
      <c r="G381" s="4">
        <v>0.45100000000000001</v>
      </c>
      <c r="H381" s="4">
        <v>0.55700000000000005</v>
      </c>
      <c r="I381" t="s">
        <v>907</v>
      </c>
      <c r="J381" t="s">
        <v>48</v>
      </c>
      <c r="K381" t="s">
        <v>1278</v>
      </c>
      <c r="L381" t="s">
        <v>488</v>
      </c>
    </row>
    <row r="382" spans="1:12" x14ac:dyDescent="0.3">
      <c r="A382" t="s">
        <v>424</v>
      </c>
      <c r="B382" t="s">
        <v>405</v>
      </c>
      <c r="C382" t="s">
        <v>906</v>
      </c>
      <c r="D382" s="4">
        <v>40.590000000000003</v>
      </c>
      <c r="E382" s="4">
        <v>0.83699999999999997</v>
      </c>
      <c r="F382" s="4">
        <v>0.26500000000000001</v>
      </c>
      <c r="G382" s="4">
        <v>0.68300000000000005</v>
      </c>
      <c r="H382" s="4">
        <v>0.61399999999999999</v>
      </c>
      <c r="I382" t="s">
        <v>907</v>
      </c>
      <c r="J382" t="s">
        <v>48</v>
      </c>
      <c r="K382" t="s">
        <v>1279</v>
      </c>
      <c r="L382" t="s">
        <v>488</v>
      </c>
    </row>
    <row r="383" spans="1:12" x14ac:dyDescent="0.3">
      <c r="A383" t="s">
        <v>424</v>
      </c>
      <c r="B383" t="s">
        <v>446</v>
      </c>
      <c r="C383" t="s">
        <v>906</v>
      </c>
      <c r="D383" s="4">
        <v>40.83</v>
      </c>
      <c r="E383" s="4">
        <v>0.95499999999999996</v>
      </c>
      <c r="F383" s="4">
        <v>0.23400000000000001</v>
      </c>
      <c r="G383" s="4">
        <v>0.47299999999999998</v>
      </c>
      <c r="H383" s="4">
        <v>0.59899999999999998</v>
      </c>
      <c r="I383" t="s">
        <v>907</v>
      </c>
      <c r="J383" t="s">
        <v>48</v>
      </c>
      <c r="K383" t="s">
        <v>1280</v>
      </c>
      <c r="L383" t="s">
        <v>488</v>
      </c>
    </row>
    <row r="384" spans="1:12" x14ac:dyDescent="0.3">
      <c r="A384" t="s">
        <v>426</v>
      </c>
      <c r="B384" t="s">
        <v>435</v>
      </c>
      <c r="C384" t="s">
        <v>906</v>
      </c>
      <c r="D384" s="4">
        <v>20.239999999999998</v>
      </c>
      <c r="E384" s="4">
        <v>0.78700000000000003</v>
      </c>
      <c r="F384" s="4">
        <v>0.33300000000000002</v>
      </c>
      <c r="G384" s="4">
        <v>0.43</v>
      </c>
      <c r="H384" s="4">
        <v>0.54900000000000004</v>
      </c>
      <c r="I384" t="s">
        <v>907</v>
      </c>
      <c r="J384" t="s">
        <v>48</v>
      </c>
      <c r="K384" t="s">
        <v>1281</v>
      </c>
      <c r="L384" t="s">
        <v>488</v>
      </c>
    </row>
    <row r="385" spans="1:12" x14ac:dyDescent="0.3">
      <c r="A385" t="s">
        <v>426</v>
      </c>
      <c r="B385" t="s">
        <v>418</v>
      </c>
      <c r="C385" t="s">
        <v>896</v>
      </c>
      <c r="D385" s="4">
        <v>44.01</v>
      </c>
      <c r="E385" s="4">
        <v>0.86599999999999999</v>
      </c>
      <c r="F385" s="4">
        <v>0.68400000000000005</v>
      </c>
      <c r="G385" s="4">
        <v>0.32400000000000001</v>
      </c>
      <c r="H385" s="4">
        <v>0.66700000000000004</v>
      </c>
      <c r="I385" t="s">
        <v>891</v>
      </c>
      <c r="J385" t="s">
        <v>48</v>
      </c>
      <c r="K385" t="s">
        <v>1282</v>
      </c>
      <c r="L385" t="s">
        <v>488</v>
      </c>
    </row>
    <row r="386" spans="1:12" x14ac:dyDescent="0.3">
      <c r="A386" t="s">
        <v>428</v>
      </c>
      <c r="B386" t="s">
        <v>446</v>
      </c>
      <c r="C386" t="s">
        <v>896</v>
      </c>
      <c r="D386" s="4">
        <v>33.96</v>
      </c>
      <c r="E386" s="4">
        <v>0.91</v>
      </c>
      <c r="F386" s="4">
        <v>0.75900000000000001</v>
      </c>
      <c r="G386" s="4">
        <v>0.61099999999999999</v>
      </c>
      <c r="H386" s="4">
        <v>0.78400000000000003</v>
      </c>
      <c r="I386" t="s">
        <v>891</v>
      </c>
      <c r="J386" t="s">
        <v>48</v>
      </c>
      <c r="K386" t="s">
        <v>1283</v>
      </c>
      <c r="L386" t="s">
        <v>488</v>
      </c>
    </row>
    <row r="387" spans="1:12" x14ac:dyDescent="0.3">
      <c r="A387" t="s">
        <v>430</v>
      </c>
      <c r="B387" t="s">
        <v>448</v>
      </c>
      <c r="C387" t="s">
        <v>906</v>
      </c>
      <c r="D387" s="4">
        <v>25.84</v>
      </c>
      <c r="E387" s="4">
        <v>0.79</v>
      </c>
      <c r="F387" s="4">
        <v>0.29399999999999998</v>
      </c>
      <c r="G387" s="4">
        <v>0.55700000000000005</v>
      </c>
      <c r="H387" s="4">
        <v>0.57099999999999995</v>
      </c>
      <c r="I387" t="s">
        <v>907</v>
      </c>
      <c r="J387" t="s">
        <v>48</v>
      </c>
      <c r="K387" t="s">
        <v>1284</v>
      </c>
      <c r="L387" t="s">
        <v>488</v>
      </c>
    </row>
    <row r="388" spans="1:12" x14ac:dyDescent="0.3">
      <c r="A388" t="s">
        <v>432</v>
      </c>
      <c r="B388" t="s">
        <v>446</v>
      </c>
      <c r="C388" t="s">
        <v>906</v>
      </c>
      <c r="D388" s="4">
        <v>21.92</v>
      </c>
      <c r="E388" s="4">
        <v>0.96</v>
      </c>
      <c r="F388" s="4">
        <v>0.376</v>
      </c>
      <c r="G388" s="4">
        <v>0.47599999999999998</v>
      </c>
      <c r="H388" s="4">
        <v>0.64700000000000002</v>
      </c>
      <c r="I388" t="s">
        <v>907</v>
      </c>
      <c r="J388" t="s">
        <v>48</v>
      </c>
      <c r="K388" t="s">
        <v>1285</v>
      </c>
      <c r="L388" t="s">
        <v>488</v>
      </c>
    </row>
    <row r="389" spans="1:12" x14ac:dyDescent="0.3">
      <c r="A389" t="s">
        <v>432</v>
      </c>
      <c r="B389" t="s">
        <v>384</v>
      </c>
      <c r="C389" t="s">
        <v>906</v>
      </c>
      <c r="D389" s="4">
        <v>26.32</v>
      </c>
      <c r="E389" s="4">
        <v>0.78700000000000003</v>
      </c>
      <c r="F389" s="4">
        <v>0.27200000000000002</v>
      </c>
      <c r="G389" s="4">
        <v>0.59199999999999997</v>
      </c>
      <c r="H389" s="4">
        <v>0.57099999999999995</v>
      </c>
      <c r="I389" t="s">
        <v>907</v>
      </c>
      <c r="J389" t="s">
        <v>48</v>
      </c>
      <c r="K389" t="s">
        <v>1286</v>
      </c>
      <c r="L389" t="s">
        <v>488</v>
      </c>
    </row>
    <row r="390" spans="1:12" x14ac:dyDescent="0.3">
      <c r="A390" t="s">
        <v>434</v>
      </c>
      <c r="B390" t="s">
        <v>405</v>
      </c>
      <c r="C390" t="s">
        <v>906</v>
      </c>
      <c r="D390" s="4">
        <v>39.92</v>
      </c>
      <c r="E390" s="4">
        <v>0.755</v>
      </c>
      <c r="F390" s="4">
        <v>0.219</v>
      </c>
      <c r="G390" s="4">
        <v>0.64300000000000002</v>
      </c>
      <c r="H390" s="4">
        <v>0.55400000000000005</v>
      </c>
      <c r="I390" t="s">
        <v>907</v>
      </c>
      <c r="J390" t="s">
        <v>48</v>
      </c>
      <c r="K390" t="s">
        <v>1287</v>
      </c>
      <c r="L390" t="s">
        <v>488</v>
      </c>
    </row>
    <row r="391" spans="1:12" x14ac:dyDescent="0.3">
      <c r="A391" t="s">
        <v>437</v>
      </c>
      <c r="B391" t="s">
        <v>370</v>
      </c>
      <c r="C391" t="s">
        <v>912</v>
      </c>
      <c r="D391" s="4">
        <v>21.34</v>
      </c>
      <c r="E391" s="4">
        <v>0.52300000000000002</v>
      </c>
      <c r="F391" s="4">
        <v>0.36599999999999999</v>
      </c>
      <c r="G391" s="4">
        <v>0.745</v>
      </c>
      <c r="H391" s="4">
        <v>0.53</v>
      </c>
      <c r="I391" t="s">
        <v>907</v>
      </c>
      <c r="J391" t="s">
        <v>892</v>
      </c>
      <c r="K391" t="s">
        <v>1288</v>
      </c>
      <c r="L391" t="s">
        <v>488</v>
      </c>
    </row>
    <row r="392" spans="1:12" x14ac:dyDescent="0.3">
      <c r="A392" t="s">
        <v>441</v>
      </c>
      <c r="B392" t="s">
        <v>439</v>
      </c>
      <c r="C392" t="s">
        <v>896</v>
      </c>
      <c r="D392" s="4">
        <v>38.409999999999997</v>
      </c>
      <c r="E392" s="4">
        <v>0.65</v>
      </c>
      <c r="F392" s="4">
        <v>0.68</v>
      </c>
      <c r="G392" s="4">
        <v>0.59699999999999998</v>
      </c>
      <c r="H392" s="4">
        <v>0.64600000000000002</v>
      </c>
      <c r="I392" t="s">
        <v>891</v>
      </c>
      <c r="J392" t="s">
        <v>892</v>
      </c>
      <c r="K392" t="s">
        <v>1289</v>
      </c>
      <c r="L392" t="s">
        <v>488</v>
      </c>
    </row>
    <row r="393" spans="1:12" x14ac:dyDescent="0.3">
      <c r="A393" t="s">
        <v>441</v>
      </c>
      <c r="B393" t="s">
        <v>380</v>
      </c>
      <c r="C393" t="s">
        <v>906</v>
      </c>
      <c r="D393" s="4">
        <v>27.11</v>
      </c>
      <c r="E393" s="4">
        <v>0.751</v>
      </c>
      <c r="F393" s="4">
        <v>0.25700000000000001</v>
      </c>
      <c r="G393" s="4">
        <v>0.73099999999999998</v>
      </c>
      <c r="H393" s="4">
        <v>0.58799999999999997</v>
      </c>
      <c r="I393" t="s">
        <v>907</v>
      </c>
      <c r="J393" t="s">
        <v>48</v>
      </c>
      <c r="K393" t="s">
        <v>1290</v>
      </c>
      <c r="L393" t="s">
        <v>488</v>
      </c>
    </row>
    <row r="394" spans="1:12" x14ac:dyDescent="0.3">
      <c r="A394" t="s">
        <v>444</v>
      </c>
      <c r="B394" t="s">
        <v>450</v>
      </c>
      <c r="C394" t="s">
        <v>912</v>
      </c>
      <c r="D394" s="4">
        <v>10.75</v>
      </c>
      <c r="E394" s="4">
        <v>0.872</v>
      </c>
      <c r="F394" s="4">
        <v>0.40500000000000003</v>
      </c>
      <c r="G394" s="4">
        <v>0.67200000000000004</v>
      </c>
      <c r="H394" s="4">
        <v>0.67</v>
      </c>
      <c r="I394" t="s">
        <v>907</v>
      </c>
      <c r="J394" t="s">
        <v>892</v>
      </c>
      <c r="K394" t="s">
        <v>1291</v>
      </c>
      <c r="L394" t="s">
        <v>488</v>
      </c>
    </row>
    <row r="395" spans="1:12" x14ac:dyDescent="0.3">
      <c r="A395" t="s">
        <v>444</v>
      </c>
      <c r="B395" t="s">
        <v>448</v>
      </c>
      <c r="C395" t="s">
        <v>906</v>
      </c>
      <c r="D395" s="4">
        <v>35.130000000000003</v>
      </c>
      <c r="E395" s="4">
        <v>0.81499999999999995</v>
      </c>
      <c r="F395" s="4">
        <v>0.318</v>
      </c>
      <c r="G395" s="4">
        <v>0.58899999999999997</v>
      </c>
      <c r="H395" s="4">
        <v>0.59699999999999998</v>
      </c>
      <c r="I395" t="s">
        <v>907</v>
      </c>
      <c r="J395" t="s">
        <v>892</v>
      </c>
      <c r="K395" t="s">
        <v>1292</v>
      </c>
      <c r="L395" t="s">
        <v>488</v>
      </c>
    </row>
    <row r="396" spans="1:12" x14ac:dyDescent="0.3">
      <c r="A396" t="s">
        <v>444</v>
      </c>
      <c r="B396" t="s">
        <v>430</v>
      </c>
      <c r="C396" t="s">
        <v>896</v>
      </c>
      <c r="D396" s="4">
        <v>52.23</v>
      </c>
      <c r="E396" s="4">
        <v>0.76100000000000001</v>
      </c>
      <c r="F396" s="4">
        <v>0.58799999999999997</v>
      </c>
      <c r="G396" s="4">
        <v>0.28000000000000003</v>
      </c>
      <c r="H396" s="4">
        <v>0.58099999999999996</v>
      </c>
      <c r="I396" t="s">
        <v>891</v>
      </c>
      <c r="J396" t="s">
        <v>892</v>
      </c>
      <c r="K396" t="s">
        <v>1293</v>
      </c>
      <c r="L396" t="s">
        <v>488</v>
      </c>
    </row>
    <row r="397" spans="1:12" x14ac:dyDescent="0.3">
      <c r="A397" t="s">
        <v>444</v>
      </c>
      <c r="B397" t="s">
        <v>412</v>
      </c>
      <c r="C397" t="s">
        <v>912</v>
      </c>
      <c r="D397" s="4">
        <v>40.46</v>
      </c>
      <c r="E397" s="4">
        <v>0.70599999999999996</v>
      </c>
      <c r="F397" s="4">
        <v>0.20399999999999999</v>
      </c>
      <c r="G397" s="4">
        <v>0.63500000000000001</v>
      </c>
      <c r="H397" s="4">
        <v>0.52700000000000002</v>
      </c>
      <c r="I397" t="s">
        <v>907</v>
      </c>
      <c r="J397" t="s">
        <v>892</v>
      </c>
      <c r="K397" t="s">
        <v>1294</v>
      </c>
      <c r="L397" t="s">
        <v>488</v>
      </c>
    </row>
    <row r="398" spans="1:12" x14ac:dyDescent="0.3">
      <c r="A398" t="s">
        <v>448</v>
      </c>
      <c r="B398" t="s">
        <v>450</v>
      </c>
      <c r="C398" t="s">
        <v>896</v>
      </c>
      <c r="D398" s="4">
        <v>26.37</v>
      </c>
      <c r="E398" s="4">
        <v>0.89400000000000002</v>
      </c>
      <c r="F398" s="4">
        <v>0.747</v>
      </c>
      <c r="G398" s="4">
        <v>0.40500000000000003</v>
      </c>
      <c r="H398" s="4">
        <v>0.72</v>
      </c>
      <c r="I398" t="s">
        <v>891</v>
      </c>
      <c r="J398" t="s">
        <v>48</v>
      </c>
      <c r="K398" t="s">
        <v>1295</v>
      </c>
      <c r="L398" t="s">
        <v>488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21"/>
  <sheetViews>
    <sheetView workbookViewId="0"/>
  </sheetViews>
  <sheetFormatPr defaultRowHeight="14.4" x14ac:dyDescent="0.3"/>
  <cols>
    <col min="1" max="26" width="17" customWidth="1"/>
  </cols>
  <sheetData>
    <row r="1" spans="1:26" ht="28.8" x14ac:dyDescent="0.3">
      <c r="A1" s="10" t="s">
        <v>452</v>
      </c>
      <c r="B1" s="10" t="s">
        <v>51</v>
      </c>
      <c r="C1" s="10" t="s">
        <v>37</v>
      </c>
      <c r="D1" s="10" t="s">
        <v>453</v>
      </c>
      <c r="E1" s="10" t="s">
        <v>59</v>
      </c>
      <c r="F1" s="10" t="s">
        <v>54</v>
      </c>
      <c r="G1" s="10" t="s">
        <v>55</v>
      </c>
      <c r="H1" s="10" t="s">
        <v>67</v>
      </c>
      <c r="I1" s="10" t="s">
        <v>66</v>
      </c>
      <c r="J1" s="10" t="s">
        <v>1296</v>
      </c>
      <c r="K1" s="10" t="s">
        <v>1297</v>
      </c>
      <c r="L1" s="10" t="s">
        <v>1298</v>
      </c>
      <c r="M1" s="10" t="s">
        <v>1299</v>
      </c>
      <c r="N1" s="10" t="s">
        <v>1300</v>
      </c>
      <c r="O1" s="10" t="s">
        <v>1301</v>
      </c>
      <c r="P1" s="10" t="s">
        <v>1302</v>
      </c>
      <c r="Q1" s="10" t="s">
        <v>1303</v>
      </c>
      <c r="R1" s="10" t="s">
        <v>1304</v>
      </c>
      <c r="S1" s="10" t="s">
        <v>1305</v>
      </c>
      <c r="T1" s="10" t="s">
        <v>1306</v>
      </c>
      <c r="U1" s="10" t="s">
        <v>1307</v>
      </c>
      <c r="V1" s="10" t="s">
        <v>1308</v>
      </c>
      <c r="W1" s="10" t="s">
        <v>1309</v>
      </c>
      <c r="X1" s="10" t="s">
        <v>1310</v>
      </c>
      <c r="Y1" s="10" t="s">
        <v>1311</v>
      </c>
      <c r="Z1" s="10" t="s">
        <v>71</v>
      </c>
    </row>
    <row r="2" spans="1:26" x14ac:dyDescent="0.3">
      <c r="A2" t="s">
        <v>483</v>
      </c>
      <c r="B2" t="s">
        <v>72</v>
      </c>
      <c r="C2" t="s">
        <v>47</v>
      </c>
      <c r="D2" t="s">
        <v>484</v>
      </c>
      <c r="E2" t="s">
        <v>75</v>
      </c>
      <c r="F2" s="3">
        <v>8.8571000000000009</v>
      </c>
      <c r="G2" s="3">
        <v>-1.9852799999999999</v>
      </c>
      <c r="H2" s="5">
        <v>0.47799999999999998</v>
      </c>
      <c r="I2" s="5">
        <v>0.35699999999999998</v>
      </c>
      <c r="J2" s="5">
        <v>-1.599</v>
      </c>
      <c r="K2" s="5">
        <v>-0.755</v>
      </c>
      <c r="L2" s="5">
        <v>-0.41599999999999998</v>
      </c>
      <c r="M2" s="5">
        <v>1.4870000000000001</v>
      </c>
      <c r="N2" s="5">
        <v>0.75600000000000001</v>
      </c>
      <c r="O2" s="5">
        <v>0.40500000000000003</v>
      </c>
      <c r="P2" s="5">
        <v>0.215</v>
      </c>
      <c r="Q2" s="5">
        <v>0.42899999999999999</v>
      </c>
      <c r="R2" s="5">
        <v>0.52500000000000002</v>
      </c>
      <c r="S2" s="5">
        <v>0.29899999999999999</v>
      </c>
      <c r="T2" s="5">
        <v>0.20100000000000001</v>
      </c>
      <c r="U2" s="5">
        <v>0.22</v>
      </c>
      <c r="V2" s="5">
        <v>0.22500000000000001</v>
      </c>
      <c r="W2" t="s">
        <v>1312</v>
      </c>
      <c r="X2" t="s">
        <v>1313</v>
      </c>
      <c r="Y2" t="s">
        <v>1314</v>
      </c>
      <c r="Z2" t="s">
        <v>488</v>
      </c>
    </row>
    <row r="3" spans="1:26" x14ac:dyDescent="0.3">
      <c r="A3" t="s">
        <v>489</v>
      </c>
      <c r="B3" t="s">
        <v>72</v>
      </c>
      <c r="C3" t="s">
        <v>47</v>
      </c>
      <c r="D3" t="s">
        <v>490</v>
      </c>
      <c r="E3" t="s">
        <v>75</v>
      </c>
      <c r="F3" s="3">
        <v>8.8571000000000009</v>
      </c>
      <c r="G3" s="3">
        <v>-1.9852799999999999</v>
      </c>
      <c r="H3" s="5">
        <v>0.47799999999999998</v>
      </c>
      <c r="I3" s="5">
        <v>0.35699999999999998</v>
      </c>
      <c r="J3" s="5">
        <v>-1.7999999999999999E-2</v>
      </c>
      <c r="K3" s="5">
        <v>-0.41799999999999998</v>
      </c>
      <c r="L3" s="5">
        <v>-0.25800000000000001</v>
      </c>
      <c r="M3" s="5">
        <v>1.46</v>
      </c>
      <c r="N3" s="5">
        <v>0.73499999999999999</v>
      </c>
      <c r="O3" s="5">
        <v>0.55500000000000005</v>
      </c>
      <c r="P3" s="5">
        <v>0.45900000000000002</v>
      </c>
      <c r="Q3" s="5">
        <v>0.43099999999999999</v>
      </c>
      <c r="R3" s="5">
        <v>0.59</v>
      </c>
      <c r="S3" s="5">
        <v>0.314</v>
      </c>
      <c r="T3" s="5">
        <v>0.25700000000000001</v>
      </c>
      <c r="U3" s="5">
        <v>0.23899999999999999</v>
      </c>
      <c r="V3" s="5">
        <v>0.38</v>
      </c>
      <c r="W3" t="s">
        <v>1312</v>
      </c>
      <c r="X3" t="s">
        <v>1313</v>
      </c>
      <c r="Y3" t="s">
        <v>1315</v>
      </c>
      <c r="Z3" t="s">
        <v>488</v>
      </c>
    </row>
    <row r="4" spans="1:26" x14ac:dyDescent="0.3">
      <c r="A4" t="s">
        <v>493</v>
      </c>
      <c r="B4" t="s">
        <v>81</v>
      </c>
      <c r="C4" t="s">
        <v>47</v>
      </c>
      <c r="D4" t="s">
        <v>484</v>
      </c>
      <c r="E4" t="s">
        <v>75</v>
      </c>
      <c r="F4" s="3">
        <v>8.4870900000000002</v>
      </c>
      <c r="G4" s="3">
        <v>-1.7688200000000001</v>
      </c>
      <c r="H4" s="5">
        <v>0.44400000000000001</v>
      </c>
      <c r="I4" s="5">
        <v>0.13100000000000001</v>
      </c>
      <c r="J4" s="5">
        <v>-1.2150000000000001</v>
      </c>
      <c r="K4" s="5">
        <v>-0.95799999999999996</v>
      </c>
      <c r="L4" s="5">
        <v>-0.67800000000000005</v>
      </c>
      <c r="M4" s="5">
        <v>1.2769999999999999</v>
      </c>
      <c r="N4" s="5">
        <v>0.79</v>
      </c>
      <c r="O4" s="5">
        <v>0.50700000000000001</v>
      </c>
      <c r="P4" s="5">
        <v>0.24199999999999999</v>
      </c>
      <c r="Q4" s="5">
        <v>0.38</v>
      </c>
      <c r="R4" s="5">
        <v>0.59299999999999997</v>
      </c>
      <c r="S4" s="5">
        <v>0.255</v>
      </c>
      <c r="T4" s="5">
        <v>0.127</v>
      </c>
      <c r="U4" s="5">
        <v>0.13800000000000001</v>
      </c>
      <c r="V4" s="5">
        <v>0.25800000000000001</v>
      </c>
      <c r="W4" t="s">
        <v>1312</v>
      </c>
      <c r="X4" t="s">
        <v>1313</v>
      </c>
      <c r="Y4" t="s">
        <v>1314</v>
      </c>
      <c r="Z4" t="s">
        <v>488</v>
      </c>
    </row>
    <row r="5" spans="1:26" x14ac:dyDescent="0.3">
      <c r="A5" t="s">
        <v>495</v>
      </c>
      <c r="B5" t="s">
        <v>81</v>
      </c>
      <c r="C5" t="s">
        <v>47</v>
      </c>
      <c r="D5" t="s">
        <v>490</v>
      </c>
      <c r="E5" t="s">
        <v>75</v>
      </c>
      <c r="F5" s="3">
        <v>8.4870900000000002</v>
      </c>
      <c r="G5" s="3">
        <v>-1.7688200000000001</v>
      </c>
      <c r="H5" s="5">
        <v>0.44400000000000001</v>
      </c>
      <c r="I5" s="5">
        <v>0.13100000000000001</v>
      </c>
      <c r="J5" s="5">
        <v>0.32200000000000001</v>
      </c>
      <c r="K5" s="5">
        <v>-9.1999999999999998E-2</v>
      </c>
      <c r="L5" s="5">
        <v>-0.61599999999999999</v>
      </c>
      <c r="M5" s="5">
        <v>1.1599999999999999</v>
      </c>
      <c r="N5" s="5">
        <v>0.76600000000000001</v>
      </c>
      <c r="O5" s="5">
        <v>0.628</v>
      </c>
      <c r="P5" s="5">
        <v>0.47799999999999998</v>
      </c>
      <c r="Q5" s="5">
        <v>0.47499999999999998</v>
      </c>
      <c r="R5" s="5">
        <v>0.54900000000000004</v>
      </c>
      <c r="S5" s="5">
        <v>0.151</v>
      </c>
      <c r="T5" s="5">
        <v>0.27100000000000002</v>
      </c>
      <c r="U5" s="5">
        <v>0.14499999999999999</v>
      </c>
      <c r="V5" s="5">
        <v>0.40600000000000003</v>
      </c>
      <c r="W5" t="s">
        <v>1312</v>
      </c>
      <c r="X5" t="s">
        <v>1313</v>
      </c>
      <c r="Y5" t="s">
        <v>1315</v>
      </c>
      <c r="Z5" t="s">
        <v>488</v>
      </c>
    </row>
    <row r="6" spans="1:26" x14ac:dyDescent="0.3">
      <c r="A6" t="s">
        <v>498</v>
      </c>
      <c r="B6" t="s">
        <v>86</v>
      </c>
      <c r="C6" t="s">
        <v>47</v>
      </c>
      <c r="D6" t="s">
        <v>484</v>
      </c>
      <c r="E6" t="s">
        <v>75</v>
      </c>
      <c r="F6" s="3">
        <v>10.160500000000001</v>
      </c>
      <c r="G6" s="3">
        <v>-2.5222099999999998</v>
      </c>
      <c r="H6" s="5">
        <v>0.56699999999999995</v>
      </c>
      <c r="I6" s="5">
        <v>0.51300000000000001</v>
      </c>
      <c r="J6" s="5">
        <v>-1.456</v>
      </c>
      <c r="K6" s="5">
        <v>-0.76700000000000002</v>
      </c>
      <c r="L6" s="5">
        <v>-0.65300000000000002</v>
      </c>
      <c r="M6" s="5">
        <v>2.5470000000000002</v>
      </c>
      <c r="N6" s="5">
        <v>0.99099999999999999</v>
      </c>
      <c r="O6" s="5">
        <v>0.29399999999999998</v>
      </c>
      <c r="P6" s="5">
        <v>0.24299999999999999</v>
      </c>
      <c r="Q6" s="5">
        <v>0.36099999999999999</v>
      </c>
      <c r="R6" s="5">
        <v>0.66700000000000004</v>
      </c>
      <c r="S6" s="5">
        <v>0.5</v>
      </c>
      <c r="T6" s="5">
        <v>0.22800000000000001</v>
      </c>
      <c r="U6" s="5">
        <v>0.20300000000000001</v>
      </c>
      <c r="V6" s="5">
        <v>0.22900000000000001</v>
      </c>
      <c r="W6" t="s">
        <v>1312</v>
      </c>
      <c r="X6" t="s">
        <v>1313</v>
      </c>
      <c r="Y6" t="s">
        <v>1314</v>
      </c>
      <c r="Z6" t="s">
        <v>488</v>
      </c>
    </row>
    <row r="7" spans="1:26" x14ac:dyDescent="0.3">
      <c r="A7" t="s">
        <v>501</v>
      </c>
      <c r="B7" t="s">
        <v>86</v>
      </c>
      <c r="C7" t="s">
        <v>47</v>
      </c>
      <c r="D7" t="s">
        <v>490</v>
      </c>
      <c r="E7" t="s">
        <v>75</v>
      </c>
      <c r="F7" s="3">
        <v>10.160500000000001</v>
      </c>
      <c r="G7" s="3">
        <v>-2.5222099999999998</v>
      </c>
      <c r="H7" s="5">
        <v>0.56699999999999995</v>
      </c>
      <c r="I7" s="5">
        <v>0.51300000000000001</v>
      </c>
      <c r="J7" s="5">
        <v>0.629</v>
      </c>
      <c r="K7" s="5">
        <v>-0.13200000000000001</v>
      </c>
      <c r="L7" s="5">
        <v>0.189</v>
      </c>
      <c r="M7" s="5">
        <v>1.268</v>
      </c>
      <c r="N7" s="5">
        <v>0.82599999999999996</v>
      </c>
      <c r="O7" s="5">
        <v>0.499</v>
      </c>
      <c r="P7" s="5">
        <v>0.53</v>
      </c>
      <c r="Q7" s="5">
        <v>0.46800000000000003</v>
      </c>
      <c r="R7" s="5">
        <v>0.58099999999999996</v>
      </c>
      <c r="S7" s="5">
        <v>0.186</v>
      </c>
      <c r="T7" s="5">
        <v>0.33300000000000002</v>
      </c>
      <c r="U7" s="5">
        <v>0.30199999999999999</v>
      </c>
      <c r="V7" s="5">
        <v>0.42099999999999999</v>
      </c>
      <c r="W7" t="s">
        <v>1312</v>
      </c>
      <c r="X7" t="s">
        <v>1313</v>
      </c>
      <c r="Y7" t="s">
        <v>1315</v>
      </c>
      <c r="Z7" t="s">
        <v>488</v>
      </c>
    </row>
    <row r="8" spans="1:26" x14ac:dyDescent="0.3">
      <c r="A8" t="s">
        <v>503</v>
      </c>
      <c r="B8" t="s">
        <v>88</v>
      </c>
      <c r="C8" t="s">
        <v>47</v>
      </c>
      <c r="D8" t="s">
        <v>484</v>
      </c>
      <c r="E8" t="s">
        <v>75</v>
      </c>
      <c r="F8" s="3">
        <v>8.5141500000000008</v>
      </c>
      <c r="G8" s="3">
        <v>-2.512E-2</v>
      </c>
      <c r="H8" s="5">
        <v>0.59099999999999997</v>
      </c>
      <c r="I8" s="5">
        <v>0.35099999999999998</v>
      </c>
      <c r="J8" s="5">
        <v>-0.84</v>
      </c>
      <c r="K8" s="5">
        <v>0.13500000000000001</v>
      </c>
      <c r="L8" s="5">
        <v>-0.81399999999999995</v>
      </c>
      <c r="M8" s="5">
        <v>1.2150000000000001</v>
      </c>
      <c r="N8" s="5">
        <v>0.67600000000000005</v>
      </c>
      <c r="O8" s="5">
        <v>0.66400000000000003</v>
      </c>
      <c r="P8" s="5">
        <v>0.36599999999999999</v>
      </c>
      <c r="Q8" s="5">
        <v>0.379</v>
      </c>
      <c r="R8" s="5">
        <v>0.49399999999999999</v>
      </c>
      <c r="S8" s="5">
        <v>0.26200000000000001</v>
      </c>
      <c r="T8" s="5">
        <v>0.40300000000000002</v>
      </c>
      <c r="U8" s="5">
        <v>0.11899999999999999</v>
      </c>
      <c r="V8" s="5">
        <v>0.33</v>
      </c>
      <c r="W8" t="s">
        <v>1312</v>
      </c>
      <c r="X8" t="s">
        <v>1313</v>
      </c>
      <c r="Y8" t="s">
        <v>1315</v>
      </c>
      <c r="Z8" t="s">
        <v>488</v>
      </c>
    </row>
    <row r="9" spans="1:26" x14ac:dyDescent="0.3">
      <c r="A9" t="s">
        <v>505</v>
      </c>
      <c r="B9" t="s">
        <v>88</v>
      </c>
      <c r="C9" t="s">
        <v>47</v>
      </c>
      <c r="D9" t="s">
        <v>490</v>
      </c>
      <c r="E9" t="s">
        <v>75</v>
      </c>
      <c r="F9" s="3">
        <v>8.5141500000000008</v>
      </c>
      <c r="G9" s="3">
        <v>-2.512E-2</v>
      </c>
      <c r="H9" s="5">
        <v>0.59099999999999997</v>
      </c>
      <c r="I9" s="5">
        <v>0.35099999999999998</v>
      </c>
      <c r="J9" s="5">
        <v>1.3140000000000001</v>
      </c>
      <c r="K9" s="5">
        <v>1.077</v>
      </c>
      <c r="L9" s="5">
        <v>-0.61</v>
      </c>
      <c r="M9" s="5">
        <v>1.202</v>
      </c>
      <c r="N9" s="5">
        <v>0.63600000000000001</v>
      </c>
      <c r="O9" s="5">
        <v>0.79100000000000004</v>
      </c>
      <c r="P9" s="5">
        <v>0.64100000000000001</v>
      </c>
      <c r="Q9" s="5">
        <v>0.47</v>
      </c>
      <c r="R9" s="5">
        <v>0.57899999999999996</v>
      </c>
      <c r="S9" s="5">
        <v>0.39</v>
      </c>
      <c r="T9" s="5">
        <v>0.56000000000000005</v>
      </c>
      <c r="U9" s="5">
        <v>0.14399999999999999</v>
      </c>
      <c r="V9" s="5">
        <v>0.51300000000000001</v>
      </c>
      <c r="W9" t="s">
        <v>1316</v>
      </c>
      <c r="X9" t="s">
        <v>1317</v>
      </c>
      <c r="Y9" t="s">
        <v>1315</v>
      </c>
      <c r="Z9" t="s">
        <v>488</v>
      </c>
    </row>
    <row r="10" spans="1:26" x14ac:dyDescent="0.3">
      <c r="A10" t="s">
        <v>507</v>
      </c>
      <c r="B10" t="s">
        <v>92</v>
      </c>
      <c r="C10" t="s">
        <v>47</v>
      </c>
      <c r="D10" t="s">
        <v>484</v>
      </c>
      <c r="E10" t="s">
        <v>75</v>
      </c>
      <c r="F10" s="3">
        <v>8.8112700000000004</v>
      </c>
      <c r="G10" s="3">
        <v>-0.22696</v>
      </c>
      <c r="H10" s="5">
        <v>0.501</v>
      </c>
      <c r="I10" s="5">
        <v>0.34499999999999997</v>
      </c>
      <c r="J10" s="5">
        <v>-1.335</v>
      </c>
      <c r="K10" s="5">
        <v>-0.82599999999999996</v>
      </c>
      <c r="L10" s="5">
        <v>-0.47299999999999998</v>
      </c>
      <c r="M10" s="5">
        <v>1.357</v>
      </c>
      <c r="N10" s="5">
        <v>0.81899999999999995</v>
      </c>
      <c r="O10" s="5">
        <v>0.58099999999999996</v>
      </c>
      <c r="P10" s="5">
        <v>0.27700000000000002</v>
      </c>
      <c r="Q10" s="5">
        <v>0.371</v>
      </c>
      <c r="R10" s="5">
        <v>0.59799999999999998</v>
      </c>
      <c r="S10" s="5">
        <v>0.20899999999999999</v>
      </c>
      <c r="T10" s="5">
        <v>0.16800000000000001</v>
      </c>
      <c r="U10" s="5">
        <v>0.153</v>
      </c>
      <c r="V10" s="5">
        <v>0.27300000000000002</v>
      </c>
      <c r="W10" t="s">
        <v>1312</v>
      </c>
      <c r="X10" t="s">
        <v>1313</v>
      </c>
      <c r="Y10" t="s">
        <v>1315</v>
      </c>
      <c r="Z10" t="s">
        <v>488</v>
      </c>
    </row>
    <row r="11" spans="1:26" x14ac:dyDescent="0.3">
      <c r="A11" t="s">
        <v>509</v>
      </c>
      <c r="B11" t="s">
        <v>92</v>
      </c>
      <c r="C11" t="s">
        <v>47</v>
      </c>
      <c r="D11" t="s">
        <v>490</v>
      </c>
      <c r="E11" t="s">
        <v>75</v>
      </c>
      <c r="F11" s="3">
        <v>8.8112700000000004</v>
      </c>
      <c r="G11" s="3">
        <v>-0.22696</v>
      </c>
      <c r="H11" s="5">
        <v>0.501</v>
      </c>
      <c r="I11" s="5">
        <v>0.34499999999999997</v>
      </c>
      <c r="J11" s="5">
        <v>0.95699999999999996</v>
      </c>
      <c r="K11" s="5">
        <v>-0.95099999999999996</v>
      </c>
      <c r="L11" s="5">
        <v>-0.33400000000000002</v>
      </c>
      <c r="M11" s="5">
        <v>0.97399999999999998</v>
      </c>
      <c r="N11" s="5">
        <v>0.75600000000000001</v>
      </c>
      <c r="O11" s="5">
        <v>0.63800000000000001</v>
      </c>
      <c r="P11" s="5">
        <v>0.54600000000000004</v>
      </c>
      <c r="Q11" s="5">
        <v>0.54200000000000004</v>
      </c>
      <c r="R11" s="5">
        <v>0.61199999999999999</v>
      </c>
      <c r="S11" s="5">
        <v>0.16800000000000001</v>
      </c>
      <c r="T11" s="5">
        <v>0.14799999999999999</v>
      </c>
      <c r="U11" s="5">
        <v>0.17</v>
      </c>
      <c r="V11" s="5">
        <v>0.45200000000000001</v>
      </c>
      <c r="W11" t="s">
        <v>1312</v>
      </c>
      <c r="X11" t="s">
        <v>1313</v>
      </c>
      <c r="Y11" t="s">
        <v>1314</v>
      </c>
      <c r="Z11" t="s">
        <v>488</v>
      </c>
    </row>
    <row r="12" spans="1:26" x14ac:dyDescent="0.3">
      <c r="A12" t="s">
        <v>511</v>
      </c>
      <c r="B12" t="s">
        <v>96</v>
      </c>
      <c r="C12" t="s">
        <v>47</v>
      </c>
      <c r="D12" t="s">
        <v>484</v>
      </c>
      <c r="E12" t="s">
        <v>75</v>
      </c>
      <c r="F12" s="3">
        <v>10.032640000000001</v>
      </c>
      <c r="G12" s="3">
        <v>7.2059999999999999E-2</v>
      </c>
      <c r="H12" s="5">
        <v>0.629</v>
      </c>
      <c r="I12" s="5">
        <v>0.42899999999999999</v>
      </c>
      <c r="J12" s="5">
        <v>-1.256</v>
      </c>
      <c r="K12" s="5">
        <v>-0.78900000000000003</v>
      </c>
      <c r="L12" s="5">
        <v>-0.753</v>
      </c>
      <c r="M12" s="5">
        <v>1.508</v>
      </c>
      <c r="N12" s="5">
        <v>0.83199999999999996</v>
      </c>
      <c r="O12" s="5">
        <v>0.49</v>
      </c>
      <c r="P12" s="5">
        <v>0.32500000000000001</v>
      </c>
      <c r="Q12" s="5">
        <v>0.38600000000000001</v>
      </c>
      <c r="R12" s="5">
        <v>0.55500000000000005</v>
      </c>
      <c r="S12" s="5">
        <v>0.25</v>
      </c>
      <c r="T12" s="5">
        <v>0.14299999999999999</v>
      </c>
      <c r="U12" s="5">
        <v>0.159</v>
      </c>
      <c r="V12" s="5">
        <v>0.28399999999999997</v>
      </c>
      <c r="W12" t="s">
        <v>1312</v>
      </c>
      <c r="X12" t="s">
        <v>1313</v>
      </c>
      <c r="Y12" t="s">
        <v>1314</v>
      </c>
      <c r="Z12" t="s">
        <v>488</v>
      </c>
    </row>
    <row r="13" spans="1:26" x14ac:dyDescent="0.3">
      <c r="A13" t="s">
        <v>513</v>
      </c>
      <c r="B13" t="s">
        <v>96</v>
      </c>
      <c r="C13" t="s">
        <v>47</v>
      </c>
      <c r="D13" t="s">
        <v>490</v>
      </c>
      <c r="E13" t="s">
        <v>75</v>
      </c>
      <c r="F13" s="3">
        <v>10.032640000000001</v>
      </c>
      <c r="G13" s="3">
        <v>7.2059999999999999E-2</v>
      </c>
      <c r="H13" s="5">
        <v>0.629</v>
      </c>
      <c r="I13" s="5">
        <v>0.42899999999999999</v>
      </c>
      <c r="J13" s="5">
        <v>0.83399999999999996</v>
      </c>
      <c r="K13" s="5">
        <v>-0.78400000000000003</v>
      </c>
      <c r="L13" s="5">
        <v>-0.17799999999999999</v>
      </c>
      <c r="M13" s="5">
        <v>1.43</v>
      </c>
      <c r="N13" s="5">
        <v>0.89600000000000002</v>
      </c>
      <c r="O13" s="5">
        <v>0.54100000000000004</v>
      </c>
      <c r="P13" s="5">
        <v>0.57999999999999996</v>
      </c>
      <c r="Q13" s="5">
        <v>0.51400000000000001</v>
      </c>
      <c r="R13" s="5">
        <v>0.621</v>
      </c>
      <c r="S13" s="5">
        <v>0.33400000000000002</v>
      </c>
      <c r="T13" s="5">
        <v>0.14299999999999999</v>
      </c>
      <c r="U13" s="5">
        <v>0.22700000000000001</v>
      </c>
      <c r="V13" s="5">
        <v>0.45</v>
      </c>
      <c r="W13" t="s">
        <v>1312</v>
      </c>
      <c r="X13" t="s">
        <v>1313</v>
      </c>
      <c r="Y13" t="s">
        <v>1314</v>
      </c>
      <c r="Z13" t="s">
        <v>488</v>
      </c>
    </row>
    <row r="14" spans="1:26" x14ac:dyDescent="0.3">
      <c r="A14" t="s">
        <v>514</v>
      </c>
      <c r="B14" t="s">
        <v>98</v>
      </c>
      <c r="C14" t="s">
        <v>47</v>
      </c>
      <c r="D14" t="s">
        <v>484</v>
      </c>
      <c r="E14" t="s">
        <v>101</v>
      </c>
      <c r="F14" s="3">
        <v>9.58127</v>
      </c>
      <c r="G14" s="3">
        <v>-0.38494</v>
      </c>
      <c r="H14" s="5">
        <v>0.53200000000000003</v>
      </c>
      <c r="I14" s="5">
        <v>0.33200000000000002</v>
      </c>
      <c r="J14" s="5">
        <v>0.74099999999999999</v>
      </c>
      <c r="K14" s="5">
        <v>5.8360000000000003</v>
      </c>
      <c r="L14" s="5">
        <v>-0.55500000000000005</v>
      </c>
      <c r="M14" s="5">
        <v>1.508</v>
      </c>
      <c r="N14" s="5">
        <v>0.77500000000000002</v>
      </c>
      <c r="O14" s="5">
        <v>0.46100000000000002</v>
      </c>
      <c r="P14" s="5">
        <v>0.39200000000000002</v>
      </c>
      <c r="Q14" s="5">
        <v>0.72699999999999998</v>
      </c>
      <c r="R14" s="5">
        <v>0.315</v>
      </c>
      <c r="S14" s="5">
        <v>0.24299999999999999</v>
      </c>
      <c r="T14" s="5">
        <v>1</v>
      </c>
      <c r="U14" s="5">
        <v>0.16200000000000001</v>
      </c>
      <c r="V14" s="5">
        <v>0.373</v>
      </c>
      <c r="W14" t="s">
        <v>1316</v>
      </c>
      <c r="X14" t="s">
        <v>1317</v>
      </c>
      <c r="Y14" t="s">
        <v>1315</v>
      </c>
      <c r="Z14" t="s">
        <v>517</v>
      </c>
    </row>
    <row r="15" spans="1:26" x14ac:dyDescent="0.3">
      <c r="A15" t="s">
        <v>518</v>
      </c>
      <c r="B15" t="s">
        <v>98</v>
      </c>
      <c r="C15" t="s">
        <v>47</v>
      </c>
      <c r="D15" t="s">
        <v>490</v>
      </c>
      <c r="E15" t="s">
        <v>101</v>
      </c>
      <c r="F15" s="3">
        <v>9.58127</v>
      </c>
      <c r="G15" s="3">
        <v>-0.38494</v>
      </c>
      <c r="H15" s="5">
        <v>0.53200000000000003</v>
      </c>
      <c r="I15" s="5">
        <v>0.33200000000000002</v>
      </c>
      <c r="J15" s="5">
        <v>0.222</v>
      </c>
      <c r="K15" s="5">
        <v>0.37</v>
      </c>
      <c r="L15" s="5">
        <v>-0.69799999999999995</v>
      </c>
      <c r="M15" s="5">
        <v>0.89100000000000001</v>
      </c>
      <c r="N15" s="5">
        <v>0.72</v>
      </c>
      <c r="O15" s="5">
        <v>0.73399999999999999</v>
      </c>
      <c r="P15" s="5">
        <v>0.53500000000000003</v>
      </c>
      <c r="Q15" s="5">
        <v>0.77200000000000002</v>
      </c>
      <c r="R15" s="5">
        <v>0.29299999999999998</v>
      </c>
      <c r="S15" s="5">
        <v>0.114</v>
      </c>
      <c r="T15" s="5">
        <v>0.48099999999999998</v>
      </c>
      <c r="U15" s="5">
        <v>0.14499999999999999</v>
      </c>
      <c r="V15" s="5">
        <v>0.433</v>
      </c>
      <c r="W15" t="s">
        <v>1312</v>
      </c>
      <c r="X15" t="s">
        <v>1313</v>
      </c>
      <c r="Y15" t="s">
        <v>1315</v>
      </c>
      <c r="Z15" t="s">
        <v>488</v>
      </c>
    </row>
    <row r="16" spans="1:26" x14ac:dyDescent="0.3">
      <c r="A16" t="s">
        <v>519</v>
      </c>
      <c r="B16" t="s">
        <v>105</v>
      </c>
      <c r="C16" t="s">
        <v>47</v>
      </c>
      <c r="D16" t="s">
        <v>484</v>
      </c>
      <c r="E16" t="s">
        <v>75</v>
      </c>
      <c r="F16" s="3">
        <v>10.323230000000001</v>
      </c>
      <c r="G16" s="3">
        <v>-1.2661</v>
      </c>
      <c r="H16" s="5">
        <v>0.47</v>
      </c>
      <c r="I16" s="5">
        <v>0.45200000000000001</v>
      </c>
      <c r="J16" s="5">
        <v>-0.33100000000000002</v>
      </c>
      <c r="K16" s="5">
        <v>-1.038</v>
      </c>
      <c r="L16" s="5">
        <v>-1.028</v>
      </c>
      <c r="M16" s="5">
        <v>2.0070000000000001</v>
      </c>
      <c r="N16" s="5">
        <v>1.0589999999999999</v>
      </c>
      <c r="O16" s="5">
        <v>0.35799999999999998</v>
      </c>
      <c r="P16" s="5">
        <v>0.27700000000000002</v>
      </c>
      <c r="Q16" s="5">
        <v>0.44500000000000001</v>
      </c>
      <c r="R16" s="5">
        <v>0.57699999999999996</v>
      </c>
      <c r="S16" s="5">
        <v>0.41199999999999998</v>
      </c>
      <c r="T16" s="5">
        <v>0.14199999999999999</v>
      </c>
      <c r="U16" s="5">
        <v>4.8000000000000001E-2</v>
      </c>
      <c r="V16" s="5">
        <v>0.28599999999999998</v>
      </c>
      <c r="W16" t="s">
        <v>1312</v>
      </c>
      <c r="X16" t="s">
        <v>1313</v>
      </c>
      <c r="Y16" t="s">
        <v>1315</v>
      </c>
      <c r="Z16" t="s">
        <v>488</v>
      </c>
    </row>
    <row r="17" spans="1:26" x14ac:dyDescent="0.3">
      <c r="A17" t="s">
        <v>522</v>
      </c>
      <c r="B17" t="s">
        <v>105</v>
      </c>
      <c r="C17" t="s">
        <v>47</v>
      </c>
      <c r="D17" t="s">
        <v>490</v>
      </c>
      <c r="E17" t="s">
        <v>75</v>
      </c>
      <c r="F17" s="3">
        <v>10.323230000000001</v>
      </c>
      <c r="G17" s="3">
        <v>-1.2661</v>
      </c>
      <c r="H17" s="5">
        <v>0.47</v>
      </c>
      <c r="I17" s="5">
        <v>0.45200000000000001</v>
      </c>
      <c r="J17" s="5">
        <v>0.77900000000000003</v>
      </c>
      <c r="K17" s="5">
        <v>-0.317</v>
      </c>
      <c r="L17" s="5">
        <v>-1.1259999999999999</v>
      </c>
      <c r="M17" s="5">
        <v>1.54</v>
      </c>
      <c r="N17" s="5">
        <v>0.875</v>
      </c>
      <c r="O17" s="5">
        <v>0.55300000000000005</v>
      </c>
      <c r="P17" s="5">
        <v>0.503</v>
      </c>
      <c r="Q17" s="5">
        <v>0.48299999999999998</v>
      </c>
      <c r="R17" s="5">
        <v>0.61</v>
      </c>
      <c r="S17" s="5">
        <v>0.38600000000000001</v>
      </c>
      <c r="T17" s="5">
        <v>0.26200000000000001</v>
      </c>
      <c r="U17" s="5">
        <v>3.6999999999999998E-2</v>
      </c>
      <c r="V17" s="5">
        <v>0.42299999999999999</v>
      </c>
      <c r="W17" t="s">
        <v>1312</v>
      </c>
      <c r="X17" t="s">
        <v>1313</v>
      </c>
      <c r="Y17" t="s">
        <v>1315</v>
      </c>
      <c r="Z17" t="s">
        <v>488</v>
      </c>
    </row>
    <row r="18" spans="1:26" x14ac:dyDescent="0.3">
      <c r="A18" t="s">
        <v>523</v>
      </c>
      <c r="B18" t="s">
        <v>108</v>
      </c>
      <c r="C18" t="s">
        <v>47</v>
      </c>
      <c r="D18" t="s">
        <v>484</v>
      </c>
      <c r="E18" t="s">
        <v>75</v>
      </c>
      <c r="F18" s="3">
        <v>9.5032599999999992</v>
      </c>
      <c r="G18" s="3">
        <v>-0.69428999999999996</v>
      </c>
      <c r="H18" s="5">
        <v>0.41199999999999998</v>
      </c>
      <c r="I18" s="5">
        <v>0.46899999999999997</v>
      </c>
      <c r="J18" s="5">
        <v>-1.226</v>
      </c>
      <c r="K18" s="5">
        <v>-0.53300000000000003</v>
      </c>
      <c r="L18" s="5">
        <v>-0.375</v>
      </c>
      <c r="M18" s="5">
        <v>1.357</v>
      </c>
      <c r="N18" s="5">
        <v>0.78100000000000003</v>
      </c>
      <c r="O18" s="5">
        <v>0.437</v>
      </c>
      <c r="P18" s="5">
        <v>0.21199999999999999</v>
      </c>
      <c r="Q18" s="5">
        <v>0.38400000000000001</v>
      </c>
      <c r="R18" s="5">
        <v>0.54200000000000004</v>
      </c>
      <c r="S18" s="5">
        <v>0.25900000000000001</v>
      </c>
      <c r="T18" s="5">
        <v>0.27700000000000002</v>
      </c>
      <c r="U18" s="5">
        <v>0.19</v>
      </c>
      <c r="V18" s="5">
        <v>0.24</v>
      </c>
      <c r="W18" t="s">
        <v>1312</v>
      </c>
      <c r="X18" t="s">
        <v>1313</v>
      </c>
      <c r="Y18" t="s">
        <v>1315</v>
      </c>
      <c r="Z18" t="s">
        <v>488</v>
      </c>
    </row>
    <row r="19" spans="1:26" x14ac:dyDescent="0.3">
      <c r="A19" t="s">
        <v>525</v>
      </c>
      <c r="B19" t="s">
        <v>108</v>
      </c>
      <c r="C19" t="s">
        <v>47</v>
      </c>
      <c r="D19" t="s">
        <v>490</v>
      </c>
      <c r="E19" t="s">
        <v>75</v>
      </c>
      <c r="F19" s="3">
        <v>9.5032599999999992</v>
      </c>
      <c r="G19" s="3">
        <v>-0.69428999999999996</v>
      </c>
      <c r="H19" s="5">
        <v>0.41199999999999998</v>
      </c>
      <c r="I19" s="5">
        <v>0.46899999999999997</v>
      </c>
      <c r="J19" s="5">
        <v>0.36899999999999999</v>
      </c>
      <c r="K19" s="5">
        <v>0.35099999999999998</v>
      </c>
      <c r="L19" s="5">
        <v>-0.39100000000000001</v>
      </c>
      <c r="M19" s="5">
        <v>1.1579999999999999</v>
      </c>
      <c r="N19" s="5">
        <v>0.76100000000000001</v>
      </c>
      <c r="O19" s="5">
        <v>0.50900000000000001</v>
      </c>
      <c r="P19" s="5">
        <v>0.442</v>
      </c>
      <c r="Q19" s="5">
        <v>0.41199999999999998</v>
      </c>
      <c r="R19" s="5">
        <v>0.57599999999999996</v>
      </c>
      <c r="S19" s="5">
        <v>0.21099999999999999</v>
      </c>
      <c r="T19" s="5">
        <v>0.42399999999999999</v>
      </c>
      <c r="U19" s="5">
        <v>0.188</v>
      </c>
      <c r="V19" s="5">
        <v>0.38300000000000001</v>
      </c>
      <c r="W19" t="s">
        <v>1312</v>
      </c>
      <c r="X19" t="s">
        <v>1313</v>
      </c>
      <c r="Y19" t="s">
        <v>1315</v>
      </c>
      <c r="Z19" t="s">
        <v>488</v>
      </c>
    </row>
    <row r="20" spans="1:26" x14ac:dyDescent="0.3">
      <c r="A20" t="s">
        <v>527</v>
      </c>
      <c r="B20" t="s">
        <v>110</v>
      </c>
      <c r="C20" t="s">
        <v>47</v>
      </c>
      <c r="D20" t="s">
        <v>484</v>
      </c>
      <c r="E20" t="s">
        <v>75</v>
      </c>
      <c r="F20" s="3">
        <v>10.28687</v>
      </c>
      <c r="G20" s="3">
        <v>-1.3118399999999999</v>
      </c>
      <c r="H20" s="5">
        <v>0.627</v>
      </c>
      <c r="I20" s="5">
        <v>0.45300000000000001</v>
      </c>
      <c r="J20" s="5">
        <v>-0.46899999999999997</v>
      </c>
      <c r="K20" s="5">
        <v>-0.32400000000000001</v>
      </c>
      <c r="L20" s="5">
        <v>-0.55400000000000005</v>
      </c>
      <c r="M20" s="5">
        <v>1.798</v>
      </c>
      <c r="N20" s="5">
        <v>0.9</v>
      </c>
      <c r="O20" s="5">
        <v>0.39500000000000002</v>
      </c>
      <c r="P20" s="5">
        <v>0.35199999999999998</v>
      </c>
      <c r="Q20" s="5">
        <v>0.51900000000000002</v>
      </c>
      <c r="R20" s="5">
        <v>0.56100000000000005</v>
      </c>
      <c r="S20" s="5">
        <v>0.45600000000000002</v>
      </c>
      <c r="T20" s="5">
        <v>0.311</v>
      </c>
      <c r="U20" s="5">
        <v>0.16800000000000001</v>
      </c>
      <c r="V20" s="5">
        <v>0.311</v>
      </c>
      <c r="W20" t="s">
        <v>1312</v>
      </c>
      <c r="X20" t="s">
        <v>1313</v>
      </c>
      <c r="Y20" t="s">
        <v>1315</v>
      </c>
      <c r="Z20" t="s">
        <v>488</v>
      </c>
    </row>
    <row r="21" spans="1:26" x14ac:dyDescent="0.3">
      <c r="A21" t="s">
        <v>528</v>
      </c>
      <c r="B21" t="s">
        <v>110</v>
      </c>
      <c r="C21" t="s">
        <v>47</v>
      </c>
      <c r="D21" t="s">
        <v>490</v>
      </c>
      <c r="E21" t="s">
        <v>75</v>
      </c>
      <c r="F21" s="3">
        <v>10.28687</v>
      </c>
      <c r="G21" s="3">
        <v>-1.3118399999999999</v>
      </c>
      <c r="H21" s="5">
        <v>0.627</v>
      </c>
      <c r="I21" s="5">
        <v>0.45300000000000001</v>
      </c>
      <c r="J21" s="5">
        <v>0.747</v>
      </c>
      <c r="K21" s="5">
        <v>-0.29899999999999999</v>
      </c>
      <c r="L21" s="5">
        <v>0.22600000000000001</v>
      </c>
      <c r="M21" s="5">
        <v>1.3660000000000001</v>
      </c>
      <c r="N21" s="5">
        <v>0.73099999999999998</v>
      </c>
      <c r="O21" s="5">
        <v>0.55400000000000005</v>
      </c>
      <c r="P21" s="5">
        <v>0.57699999999999996</v>
      </c>
      <c r="Q21" s="5">
        <v>0.40899999999999997</v>
      </c>
      <c r="R21" s="5">
        <v>0.501</v>
      </c>
      <c r="S21" s="5">
        <v>0.27800000000000002</v>
      </c>
      <c r="T21" s="5">
        <v>0.315</v>
      </c>
      <c r="U21" s="5">
        <v>0.26</v>
      </c>
      <c r="V21" s="5">
        <v>0.44700000000000001</v>
      </c>
      <c r="W21" t="s">
        <v>1318</v>
      </c>
      <c r="X21" t="s">
        <v>1319</v>
      </c>
      <c r="Y21" t="s">
        <v>1315</v>
      </c>
      <c r="Z21" t="s">
        <v>488</v>
      </c>
    </row>
    <row r="22" spans="1:26" x14ac:dyDescent="0.3">
      <c r="A22" t="s">
        <v>530</v>
      </c>
      <c r="B22" t="s">
        <v>112</v>
      </c>
      <c r="C22" t="s">
        <v>47</v>
      </c>
      <c r="D22" t="s">
        <v>484</v>
      </c>
      <c r="E22" t="s">
        <v>75</v>
      </c>
      <c r="F22" s="3">
        <v>8.8926599999999993</v>
      </c>
      <c r="G22" s="3">
        <v>-1.85693</v>
      </c>
      <c r="H22" s="5">
        <v>0.56799999999999995</v>
      </c>
      <c r="I22" s="5">
        <v>0.39800000000000002</v>
      </c>
      <c r="J22" s="5">
        <v>-1.0580000000000001</v>
      </c>
      <c r="K22" s="5">
        <v>-0.87</v>
      </c>
      <c r="L22" s="5">
        <v>-0.34100000000000003</v>
      </c>
      <c r="M22" s="5">
        <v>1.3420000000000001</v>
      </c>
      <c r="N22" s="5">
        <v>0.80600000000000005</v>
      </c>
      <c r="O22" s="5">
        <v>0.56499999999999995</v>
      </c>
      <c r="P22" s="5">
        <v>0.32200000000000001</v>
      </c>
      <c r="Q22" s="5">
        <v>0.435</v>
      </c>
      <c r="R22" s="5">
        <v>0.59699999999999998</v>
      </c>
      <c r="S22" s="5">
        <v>0.38200000000000001</v>
      </c>
      <c r="T22" s="5">
        <v>0.185</v>
      </c>
      <c r="U22" s="5">
        <v>0.22500000000000001</v>
      </c>
      <c r="V22" s="5">
        <v>0.29699999999999999</v>
      </c>
      <c r="W22" t="s">
        <v>1312</v>
      </c>
      <c r="X22" t="s">
        <v>1313</v>
      </c>
      <c r="Y22" t="s">
        <v>1315</v>
      </c>
      <c r="Z22" t="s">
        <v>488</v>
      </c>
    </row>
    <row r="23" spans="1:26" x14ac:dyDescent="0.3">
      <c r="A23" t="s">
        <v>531</v>
      </c>
      <c r="B23" t="s">
        <v>112</v>
      </c>
      <c r="C23" t="s">
        <v>47</v>
      </c>
      <c r="D23" t="s">
        <v>490</v>
      </c>
      <c r="E23" t="s">
        <v>75</v>
      </c>
      <c r="F23" s="3">
        <v>8.8926599999999993</v>
      </c>
      <c r="G23" s="3">
        <v>-1.85693</v>
      </c>
      <c r="H23" s="5">
        <v>0.56799999999999995</v>
      </c>
      <c r="I23" s="5">
        <v>0.39800000000000002</v>
      </c>
      <c r="J23" s="5">
        <v>-0.12</v>
      </c>
      <c r="K23" s="5">
        <v>-0.49299999999999999</v>
      </c>
      <c r="L23" s="5">
        <v>-0.183</v>
      </c>
      <c r="M23" s="5">
        <v>1.484</v>
      </c>
      <c r="N23" s="5">
        <v>0.91500000000000004</v>
      </c>
      <c r="O23" s="5">
        <v>0.48299999999999998</v>
      </c>
      <c r="P23" s="5">
        <v>0.48199999999999998</v>
      </c>
      <c r="Q23" s="5">
        <v>0.45700000000000002</v>
      </c>
      <c r="R23" s="5">
        <v>0.60599999999999998</v>
      </c>
      <c r="S23" s="5">
        <v>0.35099999999999998</v>
      </c>
      <c r="T23" s="5">
        <v>0.248</v>
      </c>
      <c r="U23" s="5">
        <v>0.24399999999999999</v>
      </c>
      <c r="V23" s="5">
        <v>0.377</v>
      </c>
      <c r="W23" t="s">
        <v>1312</v>
      </c>
      <c r="X23" t="s">
        <v>1313</v>
      </c>
      <c r="Y23" t="s">
        <v>1315</v>
      </c>
      <c r="Z23" t="s">
        <v>488</v>
      </c>
    </row>
    <row r="24" spans="1:26" x14ac:dyDescent="0.3">
      <c r="A24" t="s">
        <v>533</v>
      </c>
      <c r="B24" t="s">
        <v>114</v>
      </c>
      <c r="C24" t="s">
        <v>47</v>
      </c>
      <c r="D24" t="s">
        <v>484</v>
      </c>
      <c r="E24" t="s">
        <v>101</v>
      </c>
      <c r="F24" s="3">
        <v>9.1451700000000002</v>
      </c>
      <c r="G24" s="3">
        <v>-1.15876</v>
      </c>
      <c r="H24" s="5">
        <v>0.52500000000000002</v>
      </c>
      <c r="I24" s="5">
        <v>0.42599999999999999</v>
      </c>
      <c r="J24" s="5">
        <v>-0.48499999999999999</v>
      </c>
      <c r="K24" s="5">
        <v>-0.49099999999999999</v>
      </c>
      <c r="L24" s="5">
        <v>-3.2000000000000001E-2</v>
      </c>
      <c r="M24" s="5">
        <v>1.1759999999999999</v>
      </c>
      <c r="N24" s="5">
        <v>0.77200000000000002</v>
      </c>
      <c r="O24" s="5">
        <v>0.58599999999999997</v>
      </c>
      <c r="P24" s="5">
        <v>0.34</v>
      </c>
      <c r="Q24" s="5">
        <v>0.67700000000000005</v>
      </c>
      <c r="R24" s="5">
        <v>0.35</v>
      </c>
      <c r="S24" s="5">
        <v>0.189</v>
      </c>
      <c r="T24" s="5">
        <v>0.247</v>
      </c>
      <c r="U24" s="5">
        <v>0.29499999999999998</v>
      </c>
      <c r="V24" s="5">
        <v>0.32500000000000001</v>
      </c>
      <c r="W24" t="s">
        <v>1312</v>
      </c>
      <c r="X24" t="s">
        <v>1313</v>
      </c>
      <c r="Y24" t="s">
        <v>1314</v>
      </c>
      <c r="Z24" t="s">
        <v>488</v>
      </c>
    </row>
    <row r="25" spans="1:26" x14ac:dyDescent="0.3">
      <c r="A25" t="s">
        <v>534</v>
      </c>
      <c r="B25" t="s">
        <v>114</v>
      </c>
      <c r="C25" t="s">
        <v>47</v>
      </c>
      <c r="D25" t="s">
        <v>490</v>
      </c>
      <c r="E25" t="s">
        <v>101</v>
      </c>
      <c r="F25" s="3">
        <v>9.1451700000000002</v>
      </c>
      <c r="G25" s="3">
        <v>-1.15876</v>
      </c>
      <c r="H25" s="5">
        <v>0.52500000000000002</v>
      </c>
      <c r="I25" s="5">
        <v>0.42599999999999999</v>
      </c>
      <c r="J25" s="5">
        <v>-0.35</v>
      </c>
      <c r="K25" s="5">
        <v>-0.84299999999999997</v>
      </c>
      <c r="L25" s="5">
        <v>0.309</v>
      </c>
      <c r="M25" s="5">
        <v>1.3640000000000001</v>
      </c>
      <c r="N25" s="5">
        <v>0.81200000000000006</v>
      </c>
      <c r="O25" s="5">
        <v>0.56000000000000005</v>
      </c>
      <c r="P25" s="5">
        <v>0.46300000000000002</v>
      </c>
      <c r="Q25" s="5">
        <v>0.80100000000000005</v>
      </c>
      <c r="R25" s="5">
        <v>0.28599999999999998</v>
      </c>
      <c r="S25" s="5">
        <v>0.215</v>
      </c>
      <c r="T25" s="5">
        <v>0.189</v>
      </c>
      <c r="U25" s="5">
        <v>0.33500000000000002</v>
      </c>
      <c r="V25" s="5">
        <v>0.37</v>
      </c>
      <c r="W25" t="s">
        <v>1312</v>
      </c>
      <c r="X25" t="s">
        <v>1313</v>
      </c>
      <c r="Y25" t="s">
        <v>1315</v>
      </c>
      <c r="Z25" t="s">
        <v>488</v>
      </c>
    </row>
    <row r="26" spans="1:26" x14ac:dyDescent="0.3">
      <c r="A26" t="s">
        <v>536</v>
      </c>
      <c r="B26" t="s">
        <v>117</v>
      </c>
      <c r="C26" t="s">
        <v>47</v>
      </c>
      <c r="D26" t="s">
        <v>484</v>
      </c>
      <c r="E26" t="s">
        <v>75</v>
      </c>
      <c r="F26" s="3">
        <v>9.8828700000000005</v>
      </c>
      <c r="G26" s="3">
        <v>-0.71728999999999998</v>
      </c>
      <c r="H26" s="5">
        <v>0.59899999999999998</v>
      </c>
      <c r="I26" s="5">
        <v>0.20699999999999999</v>
      </c>
      <c r="J26" s="5">
        <v>-0.51900000000000002</v>
      </c>
      <c r="K26" s="5">
        <v>-0.36899999999999999</v>
      </c>
      <c r="L26" s="5">
        <v>-0.41499999999999998</v>
      </c>
      <c r="M26" s="5">
        <v>0.92</v>
      </c>
      <c r="N26" s="5">
        <v>0.66200000000000003</v>
      </c>
      <c r="O26" s="5">
        <v>0.77</v>
      </c>
      <c r="P26" s="5">
        <v>0.41</v>
      </c>
      <c r="Q26" s="5">
        <v>0.36899999999999999</v>
      </c>
      <c r="R26" s="5">
        <v>0.57899999999999996</v>
      </c>
      <c r="S26" s="5">
        <v>0.249</v>
      </c>
      <c r="T26" s="5">
        <v>0.25600000000000001</v>
      </c>
      <c r="U26" s="5">
        <v>0.16400000000000001</v>
      </c>
      <c r="V26" s="5">
        <v>0.36699999999999999</v>
      </c>
      <c r="W26" t="s">
        <v>1312</v>
      </c>
      <c r="X26" t="s">
        <v>1313</v>
      </c>
      <c r="Y26" t="s">
        <v>1315</v>
      </c>
      <c r="Z26" t="s">
        <v>488</v>
      </c>
    </row>
    <row r="27" spans="1:26" x14ac:dyDescent="0.3">
      <c r="A27" t="s">
        <v>537</v>
      </c>
      <c r="B27" t="s">
        <v>117</v>
      </c>
      <c r="C27" t="s">
        <v>47</v>
      </c>
      <c r="D27" t="s">
        <v>490</v>
      </c>
      <c r="E27" t="s">
        <v>75</v>
      </c>
      <c r="F27" s="3">
        <v>9.8828700000000005</v>
      </c>
      <c r="G27" s="3">
        <v>-0.71728999999999998</v>
      </c>
      <c r="H27" s="5">
        <v>0.59899999999999998</v>
      </c>
      <c r="I27" s="5">
        <v>0.20699999999999999</v>
      </c>
      <c r="J27" s="5">
        <v>0.54900000000000004</v>
      </c>
      <c r="K27" s="5">
        <v>-0.68799999999999994</v>
      </c>
      <c r="L27" s="5">
        <v>-0.68100000000000005</v>
      </c>
      <c r="M27" s="5">
        <v>1.361</v>
      </c>
      <c r="N27" s="5">
        <v>0.86899999999999999</v>
      </c>
      <c r="O27" s="5">
        <v>0.57499999999999996</v>
      </c>
      <c r="P27" s="5">
        <v>0.55500000000000005</v>
      </c>
      <c r="Q27" s="5">
        <v>0.45300000000000001</v>
      </c>
      <c r="R27" s="5">
        <v>0.59199999999999997</v>
      </c>
      <c r="S27" s="5">
        <v>0.4</v>
      </c>
      <c r="T27" s="5">
        <v>0.20300000000000001</v>
      </c>
      <c r="U27" s="5">
        <v>0.13300000000000001</v>
      </c>
      <c r="V27" s="5">
        <v>0.435</v>
      </c>
      <c r="W27" t="s">
        <v>1312</v>
      </c>
      <c r="X27" t="s">
        <v>1313</v>
      </c>
      <c r="Y27" t="s">
        <v>1315</v>
      </c>
      <c r="Z27" t="s">
        <v>488</v>
      </c>
    </row>
    <row r="28" spans="1:26" x14ac:dyDescent="0.3">
      <c r="A28" t="s">
        <v>538</v>
      </c>
      <c r="B28" t="s">
        <v>119</v>
      </c>
      <c r="C28" t="s">
        <v>47</v>
      </c>
      <c r="D28" t="s">
        <v>484</v>
      </c>
      <c r="E28" t="s">
        <v>75</v>
      </c>
      <c r="F28" s="3">
        <v>8.9074200000000001</v>
      </c>
      <c r="G28" s="3">
        <v>-2.07986</v>
      </c>
      <c r="H28" s="5">
        <v>0.53</v>
      </c>
      <c r="I28" s="5">
        <v>0.18099999999999999</v>
      </c>
      <c r="J28" s="5">
        <v>-0.49</v>
      </c>
      <c r="K28" s="5">
        <v>2.7679999999999998</v>
      </c>
      <c r="L28" s="5">
        <v>-0.92500000000000004</v>
      </c>
      <c r="M28" s="5">
        <v>1.633</v>
      </c>
      <c r="N28" s="5">
        <v>0.74099999999999999</v>
      </c>
      <c r="O28" s="5">
        <v>0.46400000000000002</v>
      </c>
      <c r="P28" s="5">
        <v>0.318</v>
      </c>
      <c r="Q28" s="5">
        <v>0.35699999999999998</v>
      </c>
      <c r="R28" s="5">
        <v>0.57999999999999996</v>
      </c>
      <c r="S28" s="5">
        <v>0.44</v>
      </c>
      <c r="T28" s="5">
        <v>0.89400000000000002</v>
      </c>
      <c r="U28" s="5">
        <v>0.15</v>
      </c>
      <c r="V28" s="5">
        <v>0.30499999999999999</v>
      </c>
      <c r="W28" t="s">
        <v>1316</v>
      </c>
      <c r="X28" t="s">
        <v>1317</v>
      </c>
      <c r="Y28" t="s">
        <v>1314</v>
      </c>
      <c r="Z28" t="s">
        <v>517</v>
      </c>
    </row>
    <row r="29" spans="1:26" x14ac:dyDescent="0.3">
      <c r="A29" t="s">
        <v>540</v>
      </c>
      <c r="B29" t="s">
        <v>119</v>
      </c>
      <c r="C29" t="s">
        <v>47</v>
      </c>
      <c r="D29" t="s">
        <v>490</v>
      </c>
      <c r="E29" t="s">
        <v>75</v>
      </c>
      <c r="F29" s="3">
        <v>8.9074200000000001</v>
      </c>
      <c r="G29" s="3">
        <v>-2.07986</v>
      </c>
      <c r="H29" s="5">
        <v>0.53</v>
      </c>
      <c r="I29" s="5">
        <v>0.18099999999999999</v>
      </c>
      <c r="J29" s="5">
        <v>7.0999999999999994E-2</v>
      </c>
      <c r="K29" s="5">
        <v>1.2190000000000001</v>
      </c>
      <c r="L29" s="5">
        <v>-0.39300000000000002</v>
      </c>
      <c r="M29" s="5">
        <v>1.4419999999999999</v>
      </c>
      <c r="N29" s="5">
        <v>0.82599999999999996</v>
      </c>
      <c r="O29" s="5">
        <v>0.65700000000000003</v>
      </c>
      <c r="P29" s="5">
        <v>0.51</v>
      </c>
      <c r="Q29" s="5">
        <v>0.53</v>
      </c>
      <c r="R29" s="5">
        <v>0.54700000000000004</v>
      </c>
      <c r="S29" s="5">
        <v>0.34399999999999997</v>
      </c>
      <c r="T29" s="5">
        <v>0.63600000000000001</v>
      </c>
      <c r="U29" s="5">
        <v>0.21299999999999999</v>
      </c>
      <c r="V29" s="5">
        <v>0.41099999999999998</v>
      </c>
      <c r="W29" t="s">
        <v>1316</v>
      </c>
      <c r="X29" t="s">
        <v>1317</v>
      </c>
      <c r="Y29" t="s">
        <v>1315</v>
      </c>
      <c r="Z29" t="s">
        <v>543</v>
      </c>
    </row>
    <row r="30" spans="1:26" x14ac:dyDescent="0.3">
      <c r="A30" t="s">
        <v>544</v>
      </c>
      <c r="B30" t="s">
        <v>123</v>
      </c>
      <c r="C30" t="s">
        <v>47</v>
      </c>
      <c r="D30" t="s">
        <v>484</v>
      </c>
      <c r="E30" t="s">
        <v>75</v>
      </c>
      <c r="F30" s="3">
        <v>10.204549999999999</v>
      </c>
      <c r="G30" s="3">
        <v>-2.25238</v>
      </c>
      <c r="H30" s="5">
        <v>0.65600000000000003</v>
      </c>
      <c r="I30" s="5">
        <v>0.442</v>
      </c>
      <c r="J30" s="5">
        <v>-1.139</v>
      </c>
      <c r="K30" s="5">
        <v>0.58699999999999997</v>
      </c>
      <c r="L30" s="5">
        <v>-0.38300000000000001</v>
      </c>
      <c r="M30" s="5">
        <v>1.268</v>
      </c>
      <c r="N30" s="5">
        <v>0.7</v>
      </c>
      <c r="O30" s="5">
        <v>0.57599999999999996</v>
      </c>
      <c r="P30" s="5">
        <v>0.36199999999999999</v>
      </c>
      <c r="Q30" s="5">
        <v>0.435</v>
      </c>
      <c r="R30" s="5">
        <v>0.59599999999999997</v>
      </c>
      <c r="S30" s="5">
        <v>0.36399999999999999</v>
      </c>
      <c r="T30" s="5">
        <v>0.47199999999999998</v>
      </c>
      <c r="U30" s="5">
        <v>0.23200000000000001</v>
      </c>
      <c r="V30" s="5">
        <v>0.309</v>
      </c>
      <c r="W30" t="s">
        <v>1312</v>
      </c>
      <c r="X30" t="s">
        <v>1313</v>
      </c>
      <c r="Y30" t="s">
        <v>1315</v>
      </c>
      <c r="Z30" t="s">
        <v>488</v>
      </c>
    </row>
    <row r="31" spans="1:26" x14ac:dyDescent="0.3">
      <c r="A31" t="s">
        <v>545</v>
      </c>
      <c r="B31" t="s">
        <v>123</v>
      </c>
      <c r="C31" t="s">
        <v>47</v>
      </c>
      <c r="D31" t="s">
        <v>490</v>
      </c>
      <c r="E31" t="s">
        <v>75</v>
      </c>
      <c r="F31" s="3">
        <v>10.204549999999999</v>
      </c>
      <c r="G31" s="3">
        <v>-2.25238</v>
      </c>
      <c r="H31" s="5">
        <v>0.65600000000000003</v>
      </c>
      <c r="I31" s="5">
        <v>0.442</v>
      </c>
      <c r="J31" s="5">
        <v>0.24099999999999999</v>
      </c>
      <c r="K31" s="5">
        <v>0.25900000000000001</v>
      </c>
      <c r="L31" s="5">
        <v>-0.58399999999999996</v>
      </c>
      <c r="M31" s="5">
        <v>1.3280000000000001</v>
      </c>
      <c r="N31" s="5">
        <v>0.93100000000000005</v>
      </c>
      <c r="O31" s="5">
        <v>0.59099999999999997</v>
      </c>
      <c r="P31" s="5">
        <v>0.56799999999999995</v>
      </c>
      <c r="Q31" s="5">
        <v>0.50900000000000001</v>
      </c>
      <c r="R31" s="5">
        <v>0.57199999999999995</v>
      </c>
      <c r="S31" s="5">
        <v>0.35299999999999998</v>
      </c>
      <c r="T31" s="5">
        <v>0.41699999999999998</v>
      </c>
      <c r="U31" s="5">
        <v>0.20899999999999999</v>
      </c>
      <c r="V31" s="5">
        <v>0.43</v>
      </c>
      <c r="W31" t="s">
        <v>1318</v>
      </c>
      <c r="X31" t="s">
        <v>1319</v>
      </c>
      <c r="Y31" t="s">
        <v>1314</v>
      </c>
      <c r="Z31" t="s">
        <v>543</v>
      </c>
    </row>
    <row r="32" spans="1:26" x14ac:dyDescent="0.3">
      <c r="A32" t="s">
        <v>547</v>
      </c>
      <c r="B32" t="s">
        <v>125</v>
      </c>
      <c r="C32" t="s">
        <v>47</v>
      </c>
      <c r="D32" t="s">
        <v>484</v>
      </c>
      <c r="E32" t="s">
        <v>75</v>
      </c>
      <c r="F32" s="3">
        <v>10.04964</v>
      </c>
      <c r="G32" s="3">
        <v>-0.88646999999999998</v>
      </c>
      <c r="H32" s="5">
        <v>0.56599999999999995</v>
      </c>
      <c r="I32" s="5">
        <v>0.32800000000000001</v>
      </c>
      <c r="J32" s="5">
        <v>-1.506</v>
      </c>
      <c r="K32" s="5">
        <v>0.51</v>
      </c>
      <c r="L32" s="5">
        <v>-0.68500000000000005</v>
      </c>
      <c r="M32" s="5">
        <v>1.4630000000000001</v>
      </c>
      <c r="N32" s="5">
        <v>0.76900000000000002</v>
      </c>
      <c r="O32" s="5">
        <v>0.41699999999999998</v>
      </c>
      <c r="P32" s="5">
        <v>0.26500000000000001</v>
      </c>
      <c r="Q32" s="5">
        <v>0.35599999999999998</v>
      </c>
      <c r="R32" s="5">
        <v>0.58399999999999996</v>
      </c>
      <c r="S32" s="5">
        <v>0.218</v>
      </c>
      <c r="T32" s="5">
        <v>0.45900000000000002</v>
      </c>
      <c r="U32" s="5">
        <v>0.115</v>
      </c>
      <c r="V32" s="5">
        <v>0.247</v>
      </c>
      <c r="W32" t="s">
        <v>1312</v>
      </c>
      <c r="X32" t="s">
        <v>1313</v>
      </c>
      <c r="Y32" t="s">
        <v>1315</v>
      </c>
      <c r="Z32" t="s">
        <v>488</v>
      </c>
    </row>
    <row r="33" spans="1:26" x14ac:dyDescent="0.3">
      <c r="A33" t="s">
        <v>549</v>
      </c>
      <c r="B33" t="s">
        <v>125</v>
      </c>
      <c r="C33" t="s">
        <v>47</v>
      </c>
      <c r="D33" t="s">
        <v>490</v>
      </c>
      <c r="E33" t="s">
        <v>75</v>
      </c>
      <c r="F33" s="3">
        <v>10.04964</v>
      </c>
      <c r="G33" s="3">
        <v>-0.88646999999999998</v>
      </c>
      <c r="H33" s="5">
        <v>0.56599999999999995</v>
      </c>
      <c r="I33" s="5">
        <v>0.32800000000000001</v>
      </c>
      <c r="J33" s="5">
        <v>1.617</v>
      </c>
      <c r="K33" s="5">
        <v>0.224</v>
      </c>
      <c r="L33" s="5">
        <v>-0.83899999999999997</v>
      </c>
      <c r="M33" s="5">
        <v>1.361</v>
      </c>
      <c r="N33" s="5">
        <v>0.81399999999999995</v>
      </c>
      <c r="O33" s="5">
        <v>0.60899999999999999</v>
      </c>
      <c r="P33" s="5">
        <v>0.61099999999999999</v>
      </c>
      <c r="Q33" s="5">
        <v>0.44600000000000001</v>
      </c>
      <c r="R33" s="5">
        <v>0.51700000000000002</v>
      </c>
      <c r="S33" s="5">
        <v>0.379</v>
      </c>
      <c r="T33" s="5">
        <v>0.41099999999999998</v>
      </c>
      <c r="U33" s="5">
        <v>9.7000000000000003E-2</v>
      </c>
      <c r="V33" s="5">
        <v>0.495</v>
      </c>
      <c r="W33" t="s">
        <v>1318</v>
      </c>
      <c r="X33" t="s">
        <v>1319</v>
      </c>
      <c r="Y33" t="s">
        <v>1314</v>
      </c>
      <c r="Z33" t="s">
        <v>488</v>
      </c>
    </row>
    <row r="34" spans="1:26" x14ac:dyDescent="0.3">
      <c r="A34" t="s">
        <v>550</v>
      </c>
      <c r="B34" t="s">
        <v>127</v>
      </c>
      <c r="C34" t="s">
        <v>47</v>
      </c>
      <c r="D34" t="s">
        <v>484</v>
      </c>
      <c r="E34" t="s">
        <v>75</v>
      </c>
      <c r="F34" s="3">
        <v>9.8719000000000001</v>
      </c>
      <c r="G34" s="3">
        <v>-2.1726899999999998</v>
      </c>
      <c r="H34" s="5">
        <v>0.55200000000000005</v>
      </c>
      <c r="I34" s="5">
        <v>0.215</v>
      </c>
      <c r="J34" s="5">
        <v>-0.53100000000000003</v>
      </c>
      <c r="K34" s="5">
        <v>1.079</v>
      </c>
      <c r="L34" s="5">
        <v>-0.59</v>
      </c>
      <c r="M34" s="5">
        <v>1.657</v>
      </c>
      <c r="N34" s="5">
        <v>0.78300000000000003</v>
      </c>
      <c r="O34" s="5">
        <v>0.55400000000000005</v>
      </c>
      <c r="P34" s="5">
        <v>0.34399999999999997</v>
      </c>
      <c r="Q34" s="5">
        <v>0.38800000000000001</v>
      </c>
      <c r="R34" s="5">
        <v>0.57499999999999996</v>
      </c>
      <c r="S34" s="5">
        <v>0.36799999999999999</v>
      </c>
      <c r="T34" s="5">
        <v>0.59299999999999997</v>
      </c>
      <c r="U34" s="5">
        <v>0.17899999999999999</v>
      </c>
      <c r="V34" s="5">
        <v>0.32200000000000001</v>
      </c>
      <c r="W34" t="s">
        <v>1316</v>
      </c>
      <c r="X34" t="s">
        <v>1317</v>
      </c>
      <c r="Y34" t="s">
        <v>1315</v>
      </c>
      <c r="Z34" t="s">
        <v>488</v>
      </c>
    </row>
    <row r="35" spans="1:26" x14ac:dyDescent="0.3">
      <c r="A35" t="s">
        <v>552</v>
      </c>
      <c r="B35" t="s">
        <v>127</v>
      </c>
      <c r="C35" t="s">
        <v>47</v>
      </c>
      <c r="D35" t="s">
        <v>490</v>
      </c>
      <c r="E35" t="s">
        <v>75</v>
      </c>
      <c r="F35" s="3">
        <v>9.8719000000000001</v>
      </c>
      <c r="G35" s="3">
        <v>-2.1726899999999998</v>
      </c>
      <c r="H35" s="5">
        <v>0.55200000000000005</v>
      </c>
      <c r="I35" s="5">
        <v>0.215</v>
      </c>
      <c r="J35" s="5">
        <v>1.982</v>
      </c>
      <c r="K35" s="5">
        <v>5.0309999999999997</v>
      </c>
      <c r="L35" s="5">
        <v>-0.51600000000000001</v>
      </c>
      <c r="M35" s="5">
        <v>1.4610000000000001</v>
      </c>
      <c r="N35" s="5">
        <v>0.91600000000000004</v>
      </c>
      <c r="O35" s="5">
        <v>0.69899999999999995</v>
      </c>
      <c r="P35" s="5">
        <v>0.64400000000000002</v>
      </c>
      <c r="Q35" s="5">
        <v>0.48</v>
      </c>
      <c r="R35" s="5">
        <v>0.64200000000000002</v>
      </c>
      <c r="S35" s="5">
        <v>0.36499999999999999</v>
      </c>
      <c r="T35" s="5">
        <v>1</v>
      </c>
      <c r="U35" s="5">
        <v>0.188</v>
      </c>
      <c r="V35" s="5">
        <v>0.52800000000000002</v>
      </c>
      <c r="W35" t="s">
        <v>1316</v>
      </c>
      <c r="X35" t="s">
        <v>1317</v>
      </c>
      <c r="Y35" t="s">
        <v>1315</v>
      </c>
      <c r="Z35" t="s">
        <v>517</v>
      </c>
    </row>
    <row r="36" spans="1:26" x14ac:dyDescent="0.3">
      <c r="A36" t="s">
        <v>554</v>
      </c>
      <c r="B36" t="s">
        <v>129</v>
      </c>
      <c r="C36" t="s">
        <v>47</v>
      </c>
      <c r="D36" t="s">
        <v>484</v>
      </c>
      <c r="E36" t="s">
        <v>75</v>
      </c>
      <c r="F36" s="3">
        <v>9.8437199999999994</v>
      </c>
      <c r="G36" s="3">
        <v>-0.91276999999999997</v>
      </c>
      <c r="H36" s="5">
        <v>0.54100000000000004</v>
      </c>
      <c r="I36" s="5">
        <v>0.38900000000000001</v>
      </c>
      <c r="J36" s="5">
        <v>-1.2030000000000001</v>
      </c>
      <c r="K36" s="5">
        <v>-0.98699999999999999</v>
      </c>
      <c r="L36" s="5">
        <v>-0.66700000000000004</v>
      </c>
      <c r="M36" s="5">
        <v>0.96099999999999997</v>
      </c>
      <c r="N36" s="5">
        <v>0.69699999999999995</v>
      </c>
      <c r="O36" s="5">
        <v>0.66400000000000003</v>
      </c>
      <c r="P36" s="5">
        <v>0.32</v>
      </c>
      <c r="Q36" s="5">
        <v>0.41299999999999998</v>
      </c>
      <c r="R36" s="5">
        <v>0.59499999999999997</v>
      </c>
      <c r="S36" s="5">
        <v>0.16600000000000001</v>
      </c>
      <c r="T36" s="5">
        <v>0.14000000000000001</v>
      </c>
      <c r="U36" s="5">
        <v>0.20300000000000001</v>
      </c>
      <c r="V36" s="5">
        <v>0.30099999999999999</v>
      </c>
      <c r="W36" t="s">
        <v>1312</v>
      </c>
      <c r="X36" t="s">
        <v>1313</v>
      </c>
      <c r="Y36" t="s">
        <v>1315</v>
      </c>
      <c r="Z36" t="s">
        <v>488</v>
      </c>
    </row>
    <row r="37" spans="1:26" x14ac:dyDescent="0.3">
      <c r="A37" t="s">
        <v>555</v>
      </c>
      <c r="B37" t="s">
        <v>129</v>
      </c>
      <c r="C37" t="s">
        <v>47</v>
      </c>
      <c r="D37" t="s">
        <v>490</v>
      </c>
      <c r="E37" t="s">
        <v>75</v>
      </c>
      <c r="F37" s="3">
        <v>9.8437199999999994</v>
      </c>
      <c r="G37" s="3">
        <v>-0.91276999999999997</v>
      </c>
      <c r="H37" s="5">
        <v>0.54100000000000004</v>
      </c>
      <c r="I37" s="5">
        <v>0.38900000000000001</v>
      </c>
      <c r="J37" s="5">
        <v>0.38600000000000001</v>
      </c>
      <c r="K37" s="5">
        <v>-0.70299999999999996</v>
      </c>
      <c r="L37" s="5">
        <v>-5.3999999999999999E-2</v>
      </c>
      <c r="M37" s="5">
        <v>0.85</v>
      </c>
      <c r="N37" s="5">
        <v>0.626</v>
      </c>
      <c r="O37" s="5">
        <v>0.69099999999999995</v>
      </c>
      <c r="P37" s="5">
        <v>0.54100000000000004</v>
      </c>
      <c r="Q37" s="5">
        <v>0.438</v>
      </c>
      <c r="R37" s="5">
        <v>0.65300000000000002</v>
      </c>
      <c r="S37" s="5">
        <v>0.125</v>
      </c>
      <c r="T37" s="5">
        <v>0.187</v>
      </c>
      <c r="U37" s="5">
        <v>0.27500000000000002</v>
      </c>
      <c r="V37" s="5">
        <v>0.436</v>
      </c>
      <c r="W37" t="s">
        <v>1312</v>
      </c>
      <c r="X37" t="s">
        <v>1313</v>
      </c>
      <c r="Y37" t="s">
        <v>1315</v>
      </c>
      <c r="Z37" t="s">
        <v>488</v>
      </c>
    </row>
    <row r="38" spans="1:26" x14ac:dyDescent="0.3">
      <c r="A38" t="s">
        <v>556</v>
      </c>
      <c r="B38" t="s">
        <v>131</v>
      </c>
      <c r="C38" t="s">
        <v>47</v>
      </c>
      <c r="D38" t="s">
        <v>484</v>
      </c>
      <c r="E38" t="s">
        <v>101</v>
      </c>
      <c r="F38" s="3">
        <v>9.6660900000000005</v>
      </c>
      <c r="G38" s="3">
        <v>-0.74429000000000001</v>
      </c>
      <c r="H38" s="5">
        <v>0.57299999999999995</v>
      </c>
      <c r="I38" s="5">
        <v>0.437</v>
      </c>
      <c r="J38" s="5">
        <v>-1.252</v>
      </c>
      <c r="K38" s="5">
        <v>-0.55100000000000005</v>
      </c>
      <c r="L38" s="5">
        <v>-0.39100000000000001</v>
      </c>
      <c r="M38" s="5">
        <v>1.2669999999999999</v>
      </c>
      <c r="N38" s="5">
        <v>0.84199999999999997</v>
      </c>
      <c r="O38" s="5">
        <v>0.53</v>
      </c>
      <c r="P38" s="5">
        <v>0.30599999999999999</v>
      </c>
      <c r="Q38" s="5">
        <v>0.69099999999999995</v>
      </c>
      <c r="R38" s="5">
        <v>0.33900000000000002</v>
      </c>
      <c r="S38" s="5">
        <v>0.23300000000000001</v>
      </c>
      <c r="T38" s="5">
        <v>0.21</v>
      </c>
      <c r="U38" s="5">
        <v>0.221</v>
      </c>
      <c r="V38" s="5">
        <v>0.28100000000000003</v>
      </c>
      <c r="W38" t="s">
        <v>1312</v>
      </c>
      <c r="X38" t="s">
        <v>1313</v>
      </c>
      <c r="Y38" t="s">
        <v>1315</v>
      </c>
      <c r="Z38" t="s">
        <v>488</v>
      </c>
    </row>
    <row r="39" spans="1:26" x14ac:dyDescent="0.3">
      <c r="A39" t="s">
        <v>557</v>
      </c>
      <c r="B39" t="s">
        <v>131</v>
      </c>
      <c r="C39" t="s">
        <v>47</v>
      </c>
      <c r="D39" t="s">
        <v>490</v>
      </c>
      <c r="E39" t="s">
        <v>101</v>
      </c>
      <c r="F39" s="3">
        <v>9.6660900000000005</v>
      </c>
      <c r="G39" s="3">
        <v>-0.74429000000000001</v>
      </c>
      <c r="H39" s="5">
        <v>0.57299999999999995</v>
      </c>
      <c r="I39" s="5">
        <v>0.437</v>
      </c>
      <c r="J39" s="5">
        <v>0.98799999999999999</v>
      </c>
      <c r="K39" s="5">
        <v>-0.312</v>
      </c>
      <c r="L39" s="5">
        <v>-7.1999999999999995E-2</v>
      </c>
      <c r="M39" s="5">
        <v>1.163</v>
      </c>
      <c r="N39" s="5">
        <v>0.72199999999999998</v>
      </c>
      <c r="O39" s="5">
        <v>0.64</v>
      </c>
      <c r="P39" s="5">
        <v>0.58199999999999996</v>
      </c>
      <c r="Q39" s="5">
        <v>0.78400000000000003</v>
      </c>
      <c r="R39" s="5">
        <v>0.26600000000000001</v>
      </c>
      <c r="S39" s="5">
        <v>0.20799999999999999</v>
      </c>
      <c r="T39" s="5">
        <v>0.25</v>
      </c>
      <c r="U39" s="5">
        <v>0.25900000000000001</v>
      </c>
      <c r="V39" s="5">
        <v>0.46600000000000003</v>
      </c>
      <c r="W39" t="s">
        <v>1312</v>
      </c>
      <c r="X39" t="s">
        <v>1313</v>
      </c>
      <c r="Y39" t="s">
        <v>1315</v>
      </c>
      <c r="Z39" t="s">
        <v>488</v>
      </c>
    </row>
    <row r="40" spans="1:26" x14ac:dyDescent="0.3">
      <c r="A40" t="s">
        <v>558</v>
      </c>
      <c r="B40" t="s">
        <v>133</v>
      </c>
      <c r="C40" t="s">
        <v>47</v>
      </c>
      <c r="D40" t="s">
        <v>484</v>
      </c>
      <c r="E40" t="s">
        <v>75</v>
      </c>
      <c r="F40" s="3">
        <v>8.7048100000000002</v>
      </c>
      <c r="G40" s="3">
        <v>-1.7717000000000001</v>
      </c>
      <c r="H40" s="5">
        <v>0.61299999999999999</v>
      </c>
      <c r="I40" s="5">
        <v>0.20699999999999999</v>
      </c>
      <c r="J40" s="5">
        <v>-1.054</v>
      </c>
      <c r="K40" s="5">
        <v>-0.78300000000000003</v>
      </c>
      <c r="L40" s="5">
        <v>-0.69699999999999995</v>
      </c>
      <c r="M40" s="5">
        <v>1.673</v>
      </c>
      <c r="N40" s="5">
        <v>0.74099999999999999</v>
      </c>
      <c r="O40" s="5">
        <v>0.47399999999999998</v>
      </c>
      <c r="P40" s="5">
        <v>0.32600000000000001</v>
      </c>
      <c r="Q40" s="5">
        <v>0.33200000000000002</v>
      </c>
      <c r="R40" s="5">
        <v>0.55400000000000005</v>
      </c>
      <c r="S40" s="5">
        <v>0.28100000000000003</v>
      </c>
      <c r="T40" s="5">
        <v>0.215</v>
      </c>
      <c r="U40" s="5">
        <v>0.14000000000000001</v>
      </c>
      <c r="V40" s="5">
        <v>0.28899999999999998</v>
      </c>
      <c r="W40" t="s">
        <v>1312</v>
      </c>
      <c r="X40" t="s">
        <v>1313</v>
      </c>
      <c r="Y40" t="s">
        <v>1315</v>
      </c>
      <c r="Z40" t="s">
        <v>488</v>
      </c>
    </row>
    <row r="41" spans="1:26" x14ac:dyDescent="0.3">
      <c r="A41" t="s">
        <v>559</v>
      </c>
      <c r="B41" t="s">
        <v>133</v>
      </c>
      <c r="C41" t="s">
        <v>47</v>
      </c>
      <c r="D41" t="s">
        <v>490</v>
      </c>
      <c r="E41" t="s">
        <v>75</v>
      </c>
      <c r="F41" s="3">
        <v>8.7048100000000002</v>
      </c>
      <c r="G41" s="3">
        <v>-1.7717000000000001</v>
      </c>
      <c r="H41" s="5">
        <v>0.61299999999999999</v>
      </c>
      <c r="I41" s="5">
        <v>0.20699999999999999</v>
      </c>
      <c r="J41" s="5">
        <v>0.311</v>
      </c>
      <c r="K41" s="5">
        <v>-0.54300000000000004</v>
      </c>
      <c r="L41" s="5">
        <v>0.29199999999999998</v>
      </c>
      <c r="M41" s="5">
        <v>1.5009999999999999</v>
      </c>
      <c r="N41" s="5">
        <v>0.81499999999999995</v>
      </c>
      <c r="O41" s="5">
        <v>0.69099999999999995</v>
      </c>
      <c r="P41" s="5">
        <v>0.57099999999999995</v>
      </c>
      <c r="Q41" s="5">
        <v>0.439</v>
      </c>
      <c r="R41" s="5">
        <v>0.55800000000000005</v>
      </c>
      <c r="S41" s="5">
        <v>0.35699999999999998</v>
      </c>
      <c r="T41" s="5">
        <v>0.255</v>
      </c>
      <c r="U41" s="5">
        <v>0.25700000000000001</v>
      </c>
      <c r="V41" s="5">
        <v>0.44400000000000001</v>
      </c>
      <c r="W41" t="s">
        <v>1318</v>
      </c>
      <c r="X41" t="s">
        <v>1319</v>
      </c>
      <c r="Y41" t="s">
        <v>1315</v>
      </c>
      <c r="Z41" t="s">
        <v>488</v>
      </c>
    </row>
    <row r="42" spans="1:26" x14ac:dyDescent="0.3">
      <c r="A42" t="s">
        <v>561</v>
      </c>
      <c r="B42" t="s">
        <v>136</v>
      </c>
      <c r="C42" t="s">
        <v>47</v>
      </c>
      <c r="D42" t="s">
        <v>484</v>
      </c>
      <c r="E42" t="s">
        <v>75</v>
      </c>
      <c r="F42" s="3">
        <v>8.8621300000000005</v>
      </c>
      <c r="G42" s="3">
        <v>-2.1938499999999999</v>
      </c>
      <c r="H42" s="5">
        <v>0.51600000000000001</v>
      </c>
      <c r="I42" s="5">
        <v>0.40300000000000002</v>
      </c>
      <c r="J42" s="5">
        <v>0.34499999999999997</v>
      </c>
      <c r="K42" s="5">
        <v>-0.94199999999999995</v>
      </c>
      <c r="L42" s="5">
        <v>-0.17499999999999999</v>
      </c>
      <c r="M42" s="5">
        <v>1.585</v>
      </c>
      <c r="N42" s="5">
        <v>0.88400000000000001</v>
      </c>
      <c r="O42" s="5">
        <v>0.34</v>
      </c>
      <c r="P42" s="5">
        <v>0.33600000000000002</v>
      </c>
      <c r="Q42" s="5">
        <v>0.50700000000000001</v>
      </c>
      <c r="R42" s="5">
        <v>0.61299999999999999</v>
      </c>
      <c r="S42" s="5">
        <v>0.22800000000000001</v>
      </c>
      <c r="T42" s="5">
        <v>0.106</v>
      </c>
      <c r="U42" s="5">
        <v>0.22600000000000001</v>
      </c>
      <c r="V42" s="5">
        <v>0.32800000000000001</v>
      </c>
      <c r="W42" t="s">
        <v>1312</v>
      </c>
      <c r="X42" t="s">
        <v>1313</v>
      </c>
      <c r="Y42" t="s">
        <v>1315</v>
      </c>
      <c r="Z42" t="s">
        <v>488</v>
      </c>
    </row>
    <row r="43" spans="1:26" x14ac:dyDescent="0.3">
      <c r="A43" t="s">
        <v>562</v>
      </c>
      <c r="B43" t="s">
        <v>136</v>
      </c>
      <c r="C43" t="s">
        <v>47</v>
      </c>
      <c r="D43" t="s">
        <v>490</v>
      </c>
      <c r="E43" t="s">
        <v>75</v>
      </c>
      <c r="F43" s="3">
        <v>8.8621300000000005</v>
      </c>
      <c r="G43" s="3">
        <v>-2.1938499999999999</v>
      </c>
      <c r="H43" s="5">
        <v>0.51600000000000001</v>
      </c>
      <c r="I43" s="5">
        <v>0.40300000000000002</v>
      </c>
      <c r="J43" s="5">
        <v>0.23599999999999999</v>
      </c>
      <c r="K43" s="5">
        <v>-0.73399999999999999</v>
      </c>
      <c r="L43" s="5">
        <v>-0.20699999999999999</v>
      </c>
      <c r="M43" s="5">
        <v>1.0569999999999999</v>
      </c>
      <c r="N43" s="5">
        <v>0.70699999999999996</v>
      </c>
      <c r="O43" s="5">
        <v>0.57599999999999996</v>
      </c>
      <c r="P43" s="5">
        <v>0.497</v>
      </c>
      <c r="Q43" s="5">
        <v>0.48499999999999999</v>
      </c>
      <c r="R43" s="5">
        <v>0.54900000000000004</v>
      </c>
      <c r="S43" s="5">
        <v>0.189</v>
      </c>
      <c r="T43" s="5">
        <v>0.14000000000000001</v>
      </c>
      <c r="U43" s="5">
        <v>0.222</v>
      </c>
      <c r="V43" s="5">
        <v>0.40400000000000003</v>
      </c>
      <c r="W43" t="s">
        <v>1312</v>
      </c>
      <c r="X43" t="s">
        <v>1313</v>
      </c>
      <c r="Y43" t="s">
        <v>1314</v>
      </c>
      <c r="Z43" t="s">
        <v>488</v>
      </c>
    </row>
    <row r="44" spans="1:26" x14ac:dyDescent="0.3">
      <c r="A44" t="s">
        <v>564</v>
      </c>
      <c r="B44" t="s">
        <v>138</v>
      </c>
      <c r="C44" t="s">
        <v>47</v>
      </c>
      <c r="D44" t="s">
        <v>484</v>
      </c>
      <c r="E44" t="s">
        <v>75</v>
      </c>
      <c r="F44" s="3">
        <v>9.4922799999999992</v>
      </c>
      <c r="G44" s="3">
        <v>-0.23757</v>
      </c>
      <c r="H44" s="5">
        <v>0.60099999999999998</v>
      </c>
      <c r="I44" s="5">
        <v>0.64500000000000002</v>
      </c>
      <c r="J44" s="5">
        <v>-1.403</v>
      </c>
      <c r="K44" s="5">
        <v>4.5999999999999999E-2</v>
      </c>
      <c r="L44" s="5">
        <v>-0.46500000000000002</v>
      </c>
      <c r="M44" s="5">
        <v>1.556</v>
      </c>
      <c r="N44" s="5">
        <v>0.79900000000000004</v>
      </c>
      <c r="O44" s="5">
        <v>0.442</v>
      </c>
      <c r="P44" s="5">
        <v>0.29299999999999998</v>
      </c>
      <c r="Q44" s="5">
        <v>0.36599999999999999</v>
      </c>
      <c r="R44" s="5">
        <v>0.57399999999999995</v>
      </c>
      <c r="S44" s="5">
        <v>0.313</v>
      </c>
      <c r="T44" s="5">
        <v>0.41299999999999998</v>
      </c>
      <c r="U44" s="5">
        <v>0.22900000000000001</v>
      </c>
      <c r="V44" s="5">
        <v>0.26300000000000001</v>
      </c>
      <c r="W44" t="s">
        <v>1312</v>
      </c>
      <c r="X44" t="s">
        <v>1313</v>
      </c>
      <c r="Y44" t="s">
        <v>1315</v>
      </c>
      <c r="Z44" t="s">
        <v>488</v>
      </c>
    </row>
    <row r="45" spans="1:26" x14ac:dyDescent="0.3">
      <c r="A45" t="s">
        <v>566</v>
      </c>
      <c r="B45" t="s">
        <v>138</v>
      </c>
      <c r="C45" t="s">
        <v>47</v>
      </c>
      <c r="D45" t="s">
        <v>490</v>
      </c>
      <c r="E45" t="s">
        <v>75</v>
      </c>
      <c r="F45" s="3">
        <v>9.4922799999999992</v>
      </c>
      <c r="G45" s="3">
        <v>-0.23757</v>
      </c>
      <c r="H45" s="5">
        <v>0.60099999999999998</v>
      </c>
      <c r="I45" s="5">
        <v>0.64500000000000002</v>
      </c>
      <c r="J45" s="5">
        <v>1.173</v>
      </c>
      <c r="K45" s="5">
        <v>1.2130000000000001</v>
      </c>
      <c r="L45" s="5">
        <v>-0.57299999999999995</v>
      </c>
      <c r="M45" s="5">
        <v>1.3160000000000001</v>
      </c>
      <c r="N45" s="5">
        <v>0.74199999999999999</v>
      </c>
      <c r="O45" s="5">
        <v>0.56899999999999995</v>
      </c>
      <c r="P45" s="5">
        <v>0.59299999999999997</v>
      </c>
      <c r="Q45" s="5">
        <v>0.39100000000000001</v>
      </c>
      <c r="R45" s="5">
        <v>0.56399999999999995</v>
      </c>
      <c r="S45" s="5">
        <v>0.33900000000000002</v>
      </c>
      <c r="T45" s="5">
        <v>0.60699999999999998</v>
      </c>
      <c r="U45" s="5">
        <v>0.216</v>
      </c>
      <c r="V45" s="5">
        <v>0.46899999999999997</v>
      </c>
      <c r="W45" t="s">
        <v>1316</v>
      </c>
      <c r="X45" t="s">
        <v>1317</v>
      </c>
      <c r="Y45" t="s">
        <v>1314</v>
      </c>
      <c r="Z45" t="s">
        <v>488</v>
      </c>
    </row>
    <row r="46" spans="1:26" x14ac:dyDescent="0.3">
      <c r="A46" t="s">
        <v>567</v>
      </c>
      <c r="B46" t="s">
        <v>140</v>
      </c>
      <c r="C46" t="s">
        <v>47</v>
      </c>
      <c r="D46" t="s">
        <v>484</v>
      </c>
      <c r="E46" t="s">
        <v>142</v>
      </c>
      <c r="F46" s="3">
        <v>8.8705599999999993</v>
      </c>
      <c r="G46" s="3">
        <v>-0.65646000000000004</v>
      </c>
      <c r="H46" s="5">
        <v>0.59099999999999997</v>
      </c>
      <c r="I46" s="5">
        <v>0.32200000000000001</v>
      </c>
      <c r="J46" s="5">
        <v>-0.97799999999999998</v>
      </c>
      <c r="K46" s="5">
        <v>-0.14299999999999999</v>
      </c>
      <c r="L46" s="5">
        <v>-0.629</v>
      </c>
      <c r="M46" s="5">
        <v>1.133</v>
      </c>
      <c r="N46" s="5">
        <v>0.67200000000000004</v>
      </c>
      <c r="O46" s="5">
        <v>0.52500000000000002</v>
      </c>
      <c r="P46" s="5">
        <v>0.33</v>
      </c>
      <c r="Q46" s="5">
        <v>0.41299999999999998</v>
      </c>
      <c r="R46" s="5">
        <v>0.30199999999999999</v>
      </c>
      <c r="S46" s="5">
        <v>0.214</v>
      </c>
      <c r="T46" s="5">
        <v>0.34100000000000003</v>
      </c>
      <c r="U46" s="5">
        <v>0.106</v>
      </c>
      <c r="V46" s="5">
        <v>0.29899999999999999</v>
      </c>
      <c r="W46" t="s">
        <v>1312</v>
      </c>
      <c r="X46" t="s">
        <v>1313</v>
      </c>
      <c r="Y46" t="s">
        <v>1314</v>
      </c>
      <c r="Z46" t="s">
        <v>488</v>
      </c>
    </row>
    <row r="47" spans="1:26" x14ac:dyDescent="0.3">
      <c r="A47" t="s">
        <v>568</v>
      </c>
      <c r="B47" t="s">
        <v>140</v>
      </c>
      <c r="C47" t="s">
        <v>47</v>
      </c>
      <c r="D47" t="s">
        <v>490</v>
      </c>
      <c r="E47" t="s">
        <v>142</v>
      </c>
      <c r="F47" s="3">
        <v>8.8705599999999993</v>
      </c>
      <c r="G47" s="3">
        <v>-0.65646000000000004</v>
      </c>
      <c r="H47" s="5">
        <v>0.59099999999999997</v>
      </c>
      <c r="I47" s="5">
        <v>0.32200000000000001</v>
      </c>
      <c r="J47" s="5">
        <v>1.204</v>
      </c>
      <c r="K47" s="5">
        <v>1.218</v>
      </c>
      <c r="L47" s="5">
        <v>-0.84099999999999997</v>
      </c>
      <c r="M47" s="5">
        <v>1.0529999999999999</v>
      </c>
      <c r="N47" s="5">
        <v>0.73199999999999998</v>
      </c>
      <c r="O47" s="5">
        <v>0.76200000000000001</v>
      </c>
      <c r="P47" s="5">
        <v>0.628</v>
      </c>
      <c r="Q47" s="5">
        <v>0.46</v>
      </c>
      <c r="R47" s="5">
        <v>0.26100000000000001</v>
      </c>
      <c r="S47" s="5">
        <v>0.21299999999999999</v>
      </c>
      <c r="T47" s="5">
        <v>0.56699999999999995</v>
      </c>
      <c r="U47" s="5">
        <v>8.1000000000000003E-2</v>
      </c>
      <c r="V47" s="5">
        <v>0.502</v>
      </c>
      <c r="W47" t="s">
        <v>1316</v>
      </c>
      <c r="X47" t="s">
        <v>1317</v>
      </c>
      <c r="Y47" t="s">
        <v>1315</v>
      </c>
      <c r="Z47" t="s">
        <v>488</v>
      </c>
    </row>
    <row r="48" spans="1:26" x14ac:dyDescent="0.3">
      <c r="A48" t="s">
        <v>569</v>
      </c>
      <c r="B48" t="s">
        <v>145</v>
      </c>
      <c r="C48" t="s">
        <v>47</v>
      </c>
      <c r="D48" t="s">
        <v>484</v>
      </c>
      <c r="E48" t="s">
        <v>142</v>
      </c>
      <c r="F48" s="3">
        <v>9.7414400000000008</v>
      </c>
      <c r="G48" s="3">
        <v>-1.681</v>
      </c>
      <c r="H48" s="5">
        <v>0.58499999999999996</v>
      </c>
      <c r="I48" s="5">
        <v>0.443</v>
      </c>
      <c r="J48" s="5">
        <v>-1.4970000000000001</v>
      </c>
      <c r="K48" s="5">
        <v>0.375</v>
      </c>
      <c r="L48" s="5">
        <v>-0.64200000000000002</v>
      </c>
      <c r="M48" s="5">
        <v>1.337</v>
      </c>
      <c r="N48" s="5">
        <v>0.81499999999999995</v>
      </c>
      <c r="O48" s="5">
        <v>0.624</v>
      </c>
      <c r="P48" s="5">
        <v>0.316</v>
      </c>
      <c r="Q48" s="5">
        <v>0.36199999999999999</v>
      </c>
      <c r="R48" s="5">
        <v>0.28499999999999998</v>
      </c>
      <c r="S48" s="5">
        <v>0.4</v>
      </c>
      <c r="T48" s="5">
        <v>0.45100000000000001</v>
      </c>
      <c r="U48" s="5">
        <v>0.161</v>
      </c>
      <c r="V48" s="5">
        <v>0.28599999999999998</v>
      </c>
      <c r="W48" t="s">
        <v>1316</v>
      </c>
      <c r="X48" t="s">
        <v>1317</v>
      </c>
      <c r="Y48" t="s">
        <v>1315</v>
      </c>
      <c r="Z48" t="s">
        <v>488</v>
      </c>
    </row>
    <row r="49" spans="1:26" x14ac:dyDescent="0.3">
      <c r="A49" t="s">
        <v>571</v>
      </c>
      <c r="B49" t="s">
        <v>145</v>
      </c>
      <c r="C49" t="s">
        <v>47</v>
      </c>
      <c r="D49" t="s">
        <v>490</v>
      </c>
      <c r="E49" t="s">
        <v>142</v>
      </c>
      <c r="F49" s="3">
        <v>9.7414400000000008</v>
      </c>
      <c r="G49" s="3">
        <v>-1.681</v>
      </c>
      <c r="H49" s="5">
        <v>0.58499999999999996</v>
      </c>
      <c r="I49" s="5">
        <v>0.443</v>
      </c>
      <c r="J49" s="5">
        <v>0.443</v>
      </c>
      <c r="K49" s="5">
        <v>1.1259999999999999</v>
      </c>
      <c r="L49" s="5">
        <v>-0.28399999999999997</v>
      </c>
      <c r="M49" s="5">
        <v>1.137</v>
      </c>
      <c r="N49" s="5">
        <v>0.752</v>
      </c>
      <c r="O49" s="5">
        <v>0.67500000000000004</v>
      </c>
      <c r="P49" s="5">
        <v>0.56200000000000006</v>
      </c>
      <c r="Q49" s="5">
        <v>0.44600000000000001</v>
      </c>
      <c r="R49" s="5">
        <v>0.26200000000000001</v>
      </c>
      <c r="S49" s="5">
        <v>0.19400000000000001</v>
      </c>
      <c r="T49" s="5">
        <v>0.57599999999999996</v>
      </c>
      <c r="U49" s="5">
        <v>0.20300000000000001</v>
      </c>
      <c r="V49" s="5">
        <v>0.44400000000000001</v>
      </c>
      <c r="W49" t="s">
        <v>1316</v>
      </c>
      <c r="X49" t="s">
        <v>1317</v>
      </c>
      <c r="Y49" t="s">
        <v>1315</v>
      </c>
      <c r="Z49" t="s">
        <v>543</v>
      </c>
    </row>
    <row r="50" spans="1:26" x14ac:dyDescent="0.3">
      <c r="A50" t="s">
        <v>573</v>
      </c>
      <c r="B50" t="s">
        <v>148</v>
      </c>
      <c r="C50" t="s">
        <v>47</v>
      </c>
      <c r="D50" t="s">
        <v>484</v>
      </c>
      <c r="E50" t="s">
        <v>75</v>
      </c>
      <c r="F50" s="3">
        <v>10.34798</v>
      </c>
      <c r="G50" s="3">
        <v>0.19067999999999999</v>
      </c>
      <c r="H50" s="5">
        <v>0.52700000000000002</v>
      </c>
      <c r="I50" s="5">
        <v>0.307</v>
      </c>
      <c r="J50" s="5">
        <v>-1.331</v>
      </c>
      <c r="K50" s="5">
        <v>4.2999999999999997E-2</v>
      </c>
      <c r="L50" s="5">
        <v>-0.38300000000000001</v>
      </c>
      <c r="M50" s="5">
        <v>1.746</v>
      </c>
      <c r="N50" s="5">
        <v>0.90400000000000003</v>
      </c>
      <c r="O50" s="5">
        <v>0.45800000000000002</v>
      </c>
      <c r="P50" s="5">
        <v>0.26500000000000001</v>
      </c>
      <c r="Q50" s="5">
        <v>0.38900000000000001</v>
      </c>
      <c r="R50" s="5">
        <v>0.60399999999999998</v>
      </c>
      <c r="S50" s="5">
        <v>0.38700000000000001</v>
      </c>
      <c r="T50" s="5">
        <v>0.38900000000000001</v>
      </c>
      <c r="U50" s="5">
        <v>0.16800000000000001</v>
      </c>
      <c r="V50" s="5">
        <v>0.25700000000000001</v>
      </c>
      <c r="W50" t="s">
        <v>1312</v>
      </c>
      <c r="X50" t="s">
        <v>1313</v>
      </c>
      <c r="Y50" t="s">
        <v>1315</v>
      </c>
      <c r="Z50" t="s">
        <v>488</v>
      </c>
    </row>
    <row r="51" spans="1:26" x14ac:dyDescent="0.3">
      <c r="A51" t="s">
        <v>574</v>
      </c>
      <c r="B51" t="s">
        <v>148</v>
      </c>
      <c r="C51" t="s">
        <v>47</v>
      </c>
      <c r="D51" t="s">
        <v>490</v>
      </c>
      <c r="E51" t="s">
        <v>75</v>
      </c>
      <c r="F51" s="3">
        <v>10.34798</v>
      </c>
      <c r="G51" s="3">
        <v>0.19067999999999999</v>
      </c>
      <c r="H51" s="5">
        <v>0.52700000000000002</v>
      </c>
      <c r="I51" s="5">
        <v>0.307</v>
      </c>
      <c r="J51" s="5">
        <v>0.41399999999999998</v>
      </c>
      <c r="K51" s="5">
        <v>-0.40899999999999997</v>
      </c>
      <c r="L51" s="5">
        <v>-0.54900000000000004</v>
      </c>
      <c r="M51" s="5">
        <v>1.0569999999999999</v>
      </c>
      <c r="N51" s="5">
        <v>0.72099999999999997</v>
      </c>
      <c r="O51" s="5">
        <v>0.61799999999999999</v>
      </c>
      <c r="P51" s="5">
        <v>0.52100000000000002</v>
      </c>
      <c r="Q51" s="5">
        <v>0.38400000000000001</v>
      </c>
      <c r="R51" s="5">
        <v>0.60099999999999998</v>
      </c>
      <c r="S51" s="5">
        <v>0.253</v>
      </c>
      <c r="T51" s="5">
        <v>0.314</v>
      </c>
      <c r="U51" s="5">
        <v>0.14799999999999999</v>
      </c>
      <c r="V51" s="5">
        <v>0.42299999999999999</v>
      </c>
      <c r="W51" t="s">
        <v>1312</v>
      </c>
      <c r="X51" t="s">
        <v>1313</v>
      </c>
      <c r="Y51" t="s">
        <v>1315</v>
      </c>
      <c r="Z51" t="s">
        <v>488</v>
      </c>
    </row>
    <row r="52" spans="1:26" x14ac:dyDescent="0.3">
      <c r="A52" t="s">
        <v>575</v>
      </c>
      <c r="B52" t="s">
        <v>150</v>
      </c>
      <c r="C52" t="s">
        <v>47</v>
      </c>
      <c r="D52" t="s">
        <v>484</v>
      </c>
      <c r="E52" t="s">
        <v>142</v>
      </c>
      <c r="F52" s="3">
        <v>9.2976899999999993</v>
      </c>
      <c r="G52" s="3">
        <v>-2.0971299999999999</v>
      </c>
      <c r="H52" s="5">
        <v>0.47199999999999998</v>
      </c>
      <c r="I52" s="5">
        <v>0.33200000000000002</v>
      </c>
      <c r="J52" s="5">
        <v>-1.72</v>
      </c>
      <c r="K52" s="5">
        <v>0.13600000000000001</v>
      </c>
      <c r="L52" s="5">
        <v>-0.38600000000000001</v>
      </c>
      <c r="M52" s="5">
        <v>1.0660000000000001</v>
      </c>
      <c r="N52" s="5">
        <v>0.69799999999999995</v>
      </c>
      <c r="O52" s="5">
        <v>0.61399999999999999</v>
      </c>
      <c r="P52" s="5">
        <v>0.246</v>
      </c>
      <c r="Q52" s="5">
        <v>0.44</v>
      </c>
      <c r="R52" s="5">
        <v>0.28399999999999997</v>
      </c>
      <c r="S52" s="5">
        <v>0.18</v>
      </c>
      <c r="T52" s="5">
        <v>0.41699999999999998</v>
      </c>
      <c r="U52" s="5">
        <v>0.193</v>
      </c>
      <c r="V52" s="5">
        <v>0.253</v>
      </c>
      <c r="W52" t="s">
        <v>1316</v>
      </c>
      <c r="X52" t="s">
        <v>1317</v>
      </c>
      <c r="Y52" t="s">
        <v>1315</v>
      </c>
      <c r="Z52" t="s">
        <v>488</v>
      </c>
    </row>
    <row r="53" spans="1:26" x14ac:dyDescent="0.3">
      <c r="A53" t="s">
        <v>576</v>
      </c>
      <c r="B53" t="s">
        <v>150</v>
      </c>
      <c r="C53" t="s">
        <v>47</v>
      </c>
      <c r="D53" t="s">
        <v>490</v>
      </c>
      <c r="E53" t="s">
        <v>142</v>
      </c>
      <c r="F53" s="3">
        <v>9.2976899999999993</v>
      </c>
      <c r="G53" s="3">
        <v>-2.0971299999999999</v>
      </c>
      <c r="H53" s="5">
        <v>0.47199999999999998</v>
      </c>
      <c r="I53" s="5">
        <v>0.33200000000000002</v>
      </c>
      <c r="J53" s="5">
        <v>-0.13400000000000001</v>
      </c>
      <c r="K53" s="5">
        <v>0.13</v>
      </c>
      <c r="L53" s="5">
        <v>-0.151</v>
      </c>
      <c r="M53" s="5">
        <v>1.2230000000000001</v>
      </c>
      <c r="N53" s="5">
        <v>0.69599999999999995</v>
      </c>
      <c r="O53" s="5">
        <v>0.61</v>
      </c>
      <c r="P53" s="5">
        <v>0.46</v>
      </c>
      <c r="Q53" s="5">
        <v>0.45</v>
      </c>
      <c r="R53" s="5">
        <v>0.26500000000000001</v>
      </c>
      <c r="S53" s="5">
        <v>0.314</v>
      </c>
      <c r="T53" s="5">
        <v>0.41599999999999998</v>
      </c>
      <c r="U53" s="5">
        <v>0.221</v>
      </c>
      <c r="V53" s="5">
        <v>0.38200000000000001</v>
      </c>
      <c r="W53" t="s">
        <v>1316</v>
      </c>
      <c r="X53" t="s">
        <v>1317</v>
      </c>
      <c r="Y53" t="s">
        <v>1315</v>
      </c>
      <c r="Z53" t="s">
        <v>488</v>
      </c>
    </row>
    <row r="54" spans="1:26" x14ac:dyDescent="0.3">
      <c r="A54" t="s">
        <v>577</v>
      </c>
      <c r="B54" t="s">
        <v>152</v>
      </c>
      <c r="C54" t="s">
        <v>47</v>
      </c>
      <c r="D54" t="s">
        <v>484</v>
      </c>
      <c r="E54" t="s">
        <v>75</v>
      </c>
      <c r="F54" s="3">
        <v>10.402430000000001</v>
      </c>
      <c r="G54" s="3">
        <v>-1.2470300000000001</v>
      </c>
      <c r="H54" s="5">
        <v>0.65800000000000003</v>
      </c>
      <c r="I54" s="5">
        <v>0.42299999999999999</v>
      </c>
      <c r="J54" s="5">
        <v>6.4000000000000001E-2</v>
      </c>
      <c r="K54" s="5">
        <v>-0.83199999999999996</v>
      </c>
      <c r="L54" s="5">
        <v>-0.72399999999999998</v>
      </c>
      <c r="M54" s="5">
        <v>1.2</v>
      </c>
      <c r="N54" s="5">
        <v>0.77600000000000002</v>
      </c>
      <c r="O54" s="5">
        <v>0.59</v>
      </c>
      <c r="P54" s="5">
        <v>0.438</v>
      </c>
      <c r="Q54" s="5">
        <v>0.50900000000000001</v>
      </c>
      <c r="R54" s="5">
        <v>0.59799999999999998</v>
      </c>
      <c r="S54" s="5">
        <v>0.11700000000000001</v>
      </c>
      <c r="T54" s="5">
        <v>0.14299999999999999</v>
      </c>
      <c r="U54" s="5">
        <v>0.106</v>
      </c>
      <c r="V54" s="5">
        <v>0.379</v>
      </c>
      <c r="W54" t="s">
        <v>1312</v>
      </c>
      <c r="X54" t="s">
        <v>1313</v>
      </c>
      <c r="Y54" t="s">
        <v>1314</v>
      </c>
      <c r="Z54" t="s">
        <v>488</v>
      </c>
    </row>
    <row r="55" spans="1:26" x14ac:dyDescent="0.3">
      <c r="A55" t="s">
        <v>578</v>
      </c>
      <c r="B55" t="s">
        <v>152</v>
      </c>
      <c r="C55" t="s">
        <v>47</v>
      </c>
      <c r="D55" t="s">
        <v>490</v>
      </c>
      <c r="E55" t="s">
        <v>75</v>
      </c>
      <c r="F55" s="3">
        <v>10.402430000000001</v>
      </c>
      <c r="G55" s="3">
        <v>-1.2470300000000001</v>
      </c>
      <c r="H55" s="5">
        <v>0.65800000000000003</v>
      </c>
      <c r="I55" s="5">
        <v>0.42299999999999999</v>
      </c>
      <c r="J55" s="5">
        <v>1.867</v>
      </c>
      <c r="K55" s="5">
        <v>-0.89500000000000002</v>
      </c>
      <c r="L55" s="5">
        <v>-0.59</v>
      </c>
      <c r="M55" s="5">
        <v>1.619</v>
      </c>
      <c r="N55" s="5">
        <v>0.98299999999999998</v>
      </c>
      <c r="O55" s="5">
        <v>0.60399999999999998</v>
      </c>
      <c r="P55" s="5">
        <v>0.66900000000000004</v>
      </c>
      <c r="Q55" s="5">
        <v>0.47</v>
      </c>
      <c r="R55" s="5">
        <v>0.56699999999999995</v>
      </c>
      <c r="S55" s="5">
        <v>0.36299999999999999</v>
      </c>
      <c r="T55" s="5">
        <v>0.13300000000000001</v>
      </c>
      <c r="U55" s="5">
        <v>0.122</v>
      </c>
      <c r="V55" s="5">
        <v>0.52300000000000002</v>
      </c>
      <c r="W55" t="s">
        <v>1318</v>
      </c>
      <c r="X55" t="s">
        <v>1319</v>
      </c>
      <c r="Y55" t="s">
        <v>1315</v>
      </c>
      <c r="Z55" t="s">
        <v>488</v>
      </c>
    </row>
    <row r="56" spans="1:26" x14ac:dyDescent="0.3">
      <c r="A56" t="s">
        <v>579</v>
      </c>
      <c r="B56" t="s">
        <v>154</v>
      </c>
      <c r="C56" t="s">
        <v>47</v>
      </c>
      <c r="D56" t="s">
        <v>484</v>
      </c>
      <c r="E56" t="s">
        <v>75</v>
      </c>
      <c r="F56" s="3">
        <v>8.9497800000000005</v>
      </c>
      <c r="G56" s="3">
        <v>-1.08097</v>
      </c>
      <c r="H56" s="5">
        <v>0.60799999999999998</v>
      </c>
      <c r="I56" s="5">
        <v>0.35299999999999998</v>
      </c>
      <c r="J56" s="5">
        <v>-8.7999999999999995E-2</v>
      </c>
      <c r="K56" s="5">
        <v>0.14199999999999999</v>
      </c>
      <c r="L56" s="5">
        <v>-0.73599999999999999</v>
      </c>
      <c r="M56" s="5">
        <v>1.639</v>
      </c>
      <c r="N56" s="5">
        <v>0.94499999999999995</v>
      </c>
      <c r="O56" s="5">
        <v>0.58799999999999997</v>
      </c>
      <c r="P56" s="5">
        <v>0.40400000000000003</v>
      </c>
      <c r="Q56" s="5">
        <v>0.377</v>
      </c>
      <c r="R56" s="5">
        <v>0.65</v>
      </c>
      <c r="S56" s="5">
        <v>0.36699999999999999</v>
      </c>
      <c r="T56" s="5">
        <v>0.39600000000000002</v>
      </c>
      <c r="U56" s="5">
        <v>0.11899999999999999</v>
      </c>
      <c r="V56" s="5">
        <v>0.36099999999999999</v>
      </c>
      <c r="W56" t="s">
        <v>1312</v>
      </c>
      <c r="X56" t="s">
        <v>1313</v>
      </c>
      <c r="Y56" t="s">
        <v>1315</v>
      </c>
      <c r="Z56" t="s">
        <v>488</v>
      </c>
    </row>
    <row r="57" spans="1:26" x14ac:dyDescent="0.3">
      <c r="A57" t="s">
        <v>580</v>
      </c>
      <c r="B57" t="s">
        <v>154</v>
      </c>
      <c r="C57" t="s">
        <v>47</v>
      </c>
      <c r="D57" t="s">
        <v>490</v>
      </c>
      <c r="E57" t="s">
        <v>75</v>
      </c>
      <c r="F57" s="3">
        <v>8.9497800000000005</v>
      </c>
      <c r="G57" s="3">
        <v>-1.08097</v>
      </c>
      <c r="H57" s="5">
        <v>0.60799999999999998</v>
      </c>
      <c r="I57" s="5">
        <v>0.35299999999999998</v>
      </c>
      <c r="J57" s="5">
        <v>1.1679999999999999</v>
      </c>
      <c r="K57" s="5">
        <v>-9.4E-2</v>
      </c>
      <c r="L57" s="5">
        <v>-0.61299999999999999</v>
      </c>
      <c r="M57" s="5">
        <v>1.3340000000000001</v>
      </c>
      <c r="N57" s="5">
        <v>0.73</v>
      </c>
      <c r="O57" s="5">
        <v>0.60799999999999998</v>
      </c>
      <c r="P57" s="5">
        <v>0.60299999999999998</v>
      </c>
      <c r="Q57" s="5">
        <v>0.48299999999999998</v>
      </c>
      <c r="R57" s="5">
        <v>0.54</v>
      </c>
      <c r="S57" s="5">
        <v>0.35</v>
      </c>
      <c r="T57" s="5">
        <v>0.35599999999999998</v>
      </c>
      <c r="U57" s="5">
        <v>0.13300000000000001</v>
      </c>
      <c r="V57" s="5">
        <v>0.47699999999999998</v>
      </c>
      <c r="W57" t="s">
        <v>1318</v>
      </c>
      <c r="X57" t="s">
        <v>1319</v>
      </c>
      <c r="Y57" t="s">
        <v>1314</v>
      </c>
      <c r="Z57" t="s">
        <v>488</v>
      </c>
    </row>
    <row r="58" spans="1:26" x14ac:dyDescent="0.3">
      <c r="A58" t="s">
        <v>581</v>
      </c>
      <c r="B58" t="s">
        <v>156</v>
      </c>
      <c r="C58" t="s">
        <v>47</v>
      </c>
      <c r="D58" t="s">
        <v>484</v>
      </c>
      <c r="E58" t="s">
        <v>142</v>
      </c>
      <c r="F58" s="3">
        <v>8.8679799999999993</v>
      </c>
      <c r="G58" s="3">
        <v>-1.25573</v>
      </c>
      <c r="H58" s="5">
        <v>0.54800000000000004</v>
      </c>
      <c r="I58" s="5">
        <v>0.13400000000000001</v>
      </c>
      <c r="J58" s="5">
        <v>-1.7390000000000001</v>
      </c>
      <c r="K58" s="5">
        <v>-0.89700000000000002</v>
      </c>
      <c r="L58" s="5">
        <v>-0.57299999999999995</v>
      </c>
      <c r="M58" s="5">
        <v>1.1859999999999999</v>
      </c>
      <c r="N58" s="5">
        <v>0.77700000000000002</v>
      </c>
      <c r="O58" s="5">
        <v>0.65800000000000003</v>
      </c>
      <c r="P58" s="5">
        <v>0.28999999999999998</v>
      </c>
      <c r="Q58" s="5">
        <v>0.39700000000000002</v>
      </c>
      <c r="R58" s="5">
        <v>0.217</v>
      </c>
      <c r="S58" s="5">
        <v>0.23799999999999999</v>
      </c>
      <c r="T58" s="5">
        <v>0.127</v>
      </c>
      <c r="U58" s="5">
        <v>0.13</v>
      </c>
      <c r="V58" s="5">
        <v>0.27200000000000002</v>
      </c>
      <c r="W58" t="s">
        <v>1312</v>
      </c>
      <c r="X58" t="s">
        <v>1313</v>
      </c>
      <c r="Y58" t="s">
        <v>1315</v>
      </c>
      <c r="Z58" t="s">
        <v>488</v>
      </c>
    </row>
    <row r="59" spans="1:26" x14ac:dyDescent="0.3">
      <c r="A59" t="s">
        <v>582</v>
      </c>
      <c r="B59" t="s">
        <v>156</v>
      </c>
      <c r="C59" t="s">
        <v>47</v>
      </c>
      <c r="D59" t="s">
        <v>490</v>
      </c>
      <c r="E59" t="s">
        <v>142</v>
      </c>
      <c r="F59" s="3">
        <v>8.8679799999999993</v>
      </c>
      <c r="G59" s="3">
        <v>-1.25573</v>
      </c>
      <c r="H59" s="5">
        <v>0.54800000000000004</v>
      </c>
      <c r="I59" s="5">
        <v>0.13400000000000001</v>
      </c>
      <c r="J59" s="5">
        <v>1.966</v>
      </c>
      <c r="K59" s="5">
        <v>-0.42699999999999999</v>
      </c>
      <c r="L59" s="5">
        <v>-0.38900000000000001</v>
      </c>
      <c r="M59" s="5">
        <v>1.095</v>
      </c>
      <c r="N59" s="5">
        <v>0.755</v>
      </c>
      <c r="O59" s="5">
        <v>0.63900000000000001</v>
      </c>
      <c r="P59" s="5">
        <v>0.629</v>
      </c>
      <c r="Q59" s="5">
        <v>0.36499999999999999</v>
      </c>
      <c r="R59" s="5">
        <v>0.31</v>
      </c>
      <c r="S59" s="5">
        <v>0.189</v>
      </c>
      <c r="T59" s="5">
        <v>0.20499999999999999</v>
      </c>
      <c r="U59" s="5">
        <v>0.152</v>
      </c>
      <c r="V59" s="5">
        <v>0.51600000000000001</v>
      </c>
      <c r="W59" t="s">
        <v>1318</v>
      </c>
      <c r="X59" t="s">
        <v>1319</v>
      </c>
      <c r="Y59" t="s">
        <v>1314</v>
      </c>
      <c r="Z59" t="s">
        <v>488</v>
      </c>
    </row>
    <row r="60" spans="1:26" x14ac:dyDescent="0.3">
      <c r="A60" t="s">
        <v>583</v>
      </c>
      <c r="B60" t="s">
        <v>158</v>
      </c>
      <c r="C60" t="s">
        <v>47</v>
      </c>
      <c r="D60" t="s">
        <v>484</v>
      </c>
      <c r="E60" t="s">
        <v>101</v>
      </c>
      <c r="F60" s="3">
        <v>9.9496900000000004</v>
      </c>
      <c r="G60" s="3">
        <v>3.4189999999999998E-2</v>
      </c>
      <c r="H60" s="5">
        <v>0.63900000000000001</v>
      </c>
      <c r="I60" s="5">
        <v>0.52200000000000002</v>
      </c>
      <c r="J60" s="5">
        <v>-0.63900000000000001</v>
      </c>
      <c r="K60" s="5">
        <v>-0.93</v>
      </c>
      <c r="L60" s="5">
        <v>-0.21299999999999999</v>
      </c>
      <c r="M60" s="5">
        <v>1.004</v>
      </c>
      <c r="N60" s="5">
        <v>0.71499999999999997</v>
      </c>
      <c r="O60" s="5">
        <v>0.61899999999999999</v>
      </c>
      <c r="P60" s="5">
        <v>0.39200000000000002</v>
      </c>
      <c r="Q60" s="5">
        <v>0.65600000000000003</v>
      </c>
      <c r="R60" s="5">
        <v>0.30299999999999999</v>
      </c>
      <c r="S60" s="5">
        <v>0.105</v>
      </c>
      <c r="T60" s="5">
        <v>0.124</v>
      </c>
      <c r="U60" s="5">
        <v>0.22900000000000001</v>
      </c>
      <c r="V60" s="5">
        <v>0.34200000000000003</v>
      </c>
      <c r="W60" t="s">
        <v>1312</v>
      </c>
      <c r="X60" t="s">
        <v>1313</v>
      </c>
      <c r="Y60" t="s">
        <v>1315</v>
      </c>
      <c r="Z60" t="s">
        <v>488</v>
      </c>
    </row>
    <row r="61" spans="1:26" x14ac:dyDescent="0.3">
      <c r="A61" t="s">
        <v>584</v>
      </c>
      <c r="B61" t="s">
        <v>158</v>
      </c>
      <c r="C61" t="s">
        <v>47</v>
      </c>
      <c r="D61" t="s">
        <v>490</v>
      </c>
      <c r="E61" t="s">
        <v>101</v>
      </c>
      <c r="F61" s="3">
        <v>9.9496900000000004</v>
      </c>
      <c r="G61" s="3">
        <v>3.4189999999999998E-2</v>
      </c>
      <c r="H61" s="5">
        <v>0.63900000000000001</v>
      </c>
      <c r="I61" s="5">
        <v>0.52200000000000002</v>
      </c>
      <c r="J61" s="5">
        <v>-0.23499999999999999</v>
      </c>
      <c r="K61" s="5">
        <v>-0.47</v>
      </c>
      <c r="L61" s="5">
        <v>4.0000000000000001E-3</v>
      </c>
      <c r="M61" s="5">
        <v>1.234</v>
      </c>
      <c r="N61" s="5">
        <v>0.81499999999999995</v>
      </c>
      <c r="O61" s="5">
        <v>0.622</v>
      </c>
      <c r="P61" s="5">
        <v>0.53700000000000003</v>
      </c>
      <c r="Q61" s="5">
        <v>0.75</v>
      </c>
      <c r="R61" s="5">
        <v>0.36699999999999999</v>
      </c>
      <c r="S61" s="5">
        <v>0.28000000000000003</v>
      </c>
      <c r="T61" s="5">
        <v>0.20100000000000001</v>
      </c>
      <c r="U61" s="5">
        <v>0.254</v>
      </c>
      <c r="V61" s="5">
        <v>0.40600000000000003</v>
      </c>
      <c r="W61" t="s">
        <v>1312</v>
      </c>
      <c r="X61" t="s">
        <v>1313</v>
      </c>
      <c r="Y61" t="s">
        <v>1315</v>
      </c>
      <c r="Z61" t="s">
        <v>488</v>
      </c>
    </row>
    <row r="62" spans="1:26" x14ac:dyDescent="0.3">
      <c r="A62" t="s">
        <v>585</v>
      </c>
      <c r="B62" t="s">
        <v>160</v>
      </c>
      <c r="C62" t="s">
        <v>47</v>
      </c>
      <c r="D62" t="s">
        <v>484</v>
      </c>
      <c r="E62" t="s">
        <v>75</v>
      </c>
      <c r="F62" s="3">
        <v>9.9686000000000003</v>
      </c>
      <c r="G62" s="3">
        <v>-0.60363</v>
      </c>
      <c r="H62" s="5">
        <v>0.65400000000000003</v>
      </c>
      <c r="I62" s="5">
        <v>0.4</v>
      </c>
      <c r="J62" s="5">
        <v>0.13100000000000001</v>
      </c>
      <c r="K62" s="5">
        <v>1.7609999999999999</v>
      </c>
      <c r="L62" s="5">
        <v>-0.86699999999999999</v>
      </c>
      <c r="M62" s="5">
        <v>1.784</v>
      </c>
      <c r="N62" s="5">
        <v>0.81699999999999995</v>
      </c>
      <c r="O62" s="5">
        <v>0.49399999999999999</v>
      </c>
      <c r="P62" s="5">
        <v>0.42099999999999999</v>
      </c>
      <c r="Q62" s="5">
        <v>0.36799999999999999</v>
      </c>
      <c r="R62" s="5">
        <v>0.55100000000000005</v>
      </c>
      <c r="S62" s="5">
        <v>0.35399999999999998</v>
      </c>
      <c r="T62" s="5">
        <v>0.68600000000000005</v>
      </c>
      <c r="U62" s="5">
        <v>0.153</v>
      </c>
      <c r="V62" s="5">
        <v>0.36599999999999999</v>
      </c>
      <c r="W62" t="s">
        <v>1316</v>
      </c>
      <c r="X62" t="s">
        <v>1317</v>
      </c>
      <c r="Y62" t="s">
        <v>1315</v>
      </c>
      <c r="Z62" t="s">
        <v>543</v>
      </c>
    </row>
    <row r="63" spans="1:26" x14ac:dyDescent="0.3">
      <c r="A63" t="s">
        <v>587</v>
      </c>
      <c r="B63" t="s">
        <v>160</v>
      </c>
      <c r="C63" t="s">
        <v>47</v>
      </c>
      <c r="D63" t="s">
        <v>490</v>
      </c>
      <c r="E63" t="s">
        <v>75</v>
      </c>
      <c r="F63" s="3">
        <v>9.9686000000000003</v>
      </c>
      <c r="G63" s="3">
        <v>-0.60363</v>
      </c>
      <c r="H63" s="5">
        <v>0.65400000000000003</v>
      </c>
      <c r="I63" s="5">
        <v>0.4</v>
      </c>
      <c r="J63" s="5">
        <v>0.39</v>
      </c>
      <c r="K63" s="5">
        <v>0.32900000000000001</v>
      </c>
      <c r="L63" s="5">
        <v>-0.56599999999999995</v>
      </c>
      <c r="M63" s="5">
        <v>1.4570000000000001</v>
      </c>
      <c r="N63" s="5">
        <v>0.81100000000000005</v>
      </c>
      <c r="O63" s="5">
        <v>0.56499999999999995</v>
      </c>
      <c r="P63" s="5">
        <v>0.57099999999999995</v>
      </c>
      <c r="Q63" s="5">
        <v>0.44500000000000001</v>
      </c>
      <c r="R63" s="5">
        <v>0.63</v>
      </c>
      <c r="S63" s="5">
        <v>0.39100000000000001</v>
      </c>
      <c r="T63" s="5">
        <v>0.44800000000000001</v>
      </c>
      <c r="U63" s="5">
        <v>0.189</v>
      </c>
      <c r="V63" s="5">
        <v>0.434</v>
      </c>
      <c r="W63" t="s">
        <v>1312</v>
      </c>
      <c r="X63" t="s">
        <v>1313</v>
      </c>
      <c r="Y63" t="s">
        <v>1314</v>
      </c>
      <c r="Z63" t="s">
        <v>488</v>
      </c>
    </row>
    <row r="64" spans="1:26" x14ac:dyDescent="0.3">
      <c r="A64" t="s">
        <v>589</v>
      </c>
      <c r="B64" t="s">
        <v>162</v>
      </c>
      <c r="C64" t="s">
        <v>47</v>
      </c>
      <c r="D64" t="s">
        <v>484</v>
      </c>
      <c r="E64" t="s">
        <v>142</v>
      </c>
      <c r="F64" s="3">
        <v>10.002179999999999</v>
      </c>
      <c r="G64" s="3">
        <v>0.17252000000000001</v>
      </c>
      <c r="H64" s="5">
        <v>0.51900000000000002</v>
      </c>
      <c r="I64" s="5">
        <v>0.63600000000000001</v>
      </c>
      <c r="J64" s="5">
        <v>-1.08</v>
      </c>
      <c r="K64" s="5">
        <v>-0.34200000000000003</v>
      </c>
      <c r="L64" s="5">
        <v>-0.317</v>
      </c>
      <c r="M64" s="5">
        <v>1.881</v>
      </c>
      <c r="N64" s="5">
        <v>0.89800000000000002</v>
      </c>
      <c r="O64" s="5">
        <v>0.39500000000000002</v>
      </c>
      <c r="P64" s="5">
        <v>0.26300000000000001</v>
      </c>
      <c r="Q64" s="5">
        <v>0.39</v>
      </c>
      <c r="R64" s="5">
        <v>0.35499999999999998</v>
      </c>
      <c r="S64" s="5">
        <v>0.433</v>
      </c>
      <c r="T64" s="5">
        <v>0.27800000000000002</v>
      </c>
      <c r="U64" s="5">
        <v>0.186</v>
      </c>
      <c r="V64" s="5">
        <v>0.25900000000000001</v>
      </c>
      <c r="W64" t="s">
        <v>1320</v>
      </c>
      <c r="X64" t="s">
        <v>1321</v>
      </c>
      <c r="Y64" t="s">
        <v>1315</v>
      </c>
      <c r="Z64" t="s">
        <v>488</v>
      </c>
    </row>
    <row r="65" spans="1:26" x14ac:dyDescent="0.3">
      <c r="A65" t="s">
        <v>590</v>
      </c>
      <c r="B65" t="s">
        <v>162</v>
      </c>
      <c r="C65" t="s">
        <v>47</v>
      </c>
      <c r="D65" t="s">
        <v>490</v>
      </c>
      <c r="E65" t="s">
        <v>142</v>
      </c>
      <c r="F65" s="3">
        <v>10.002179999999999</v>
      </c>
      <c r="G65" s="3">
        <v>0.17252000000000001</v>
      </c>
      <c r="H65" s="5">
        <v>0.51900000000000002</v>
      </c>
      <c r="I65" s="5">
        <v>0.63600000000000001</v>
      </c>
      <c r="J65" s="5">
        <v>2.0960000000000001</v>
      </c>
      <c r="K65" s="5">
        <v>-0.33500000000000002</v>
      </c>
      <c r="L65" s="5">
        <v>0.61199999999999999</v>
      </c>
      <c r="M65" s="5">
        <v>1.4339999999999999</v>
      </c>
      <c r="N65" s="5">
        <v>0.90900000000000003</v>
      </c>
      <c r="O65" s="5">
        <v>0.48699999999999999</v>
      </c>
      <c r="P65" s="5">
        <v>0.59199999999999997</v>
      </c>
      <c r="Q65" s="5">
        <v>0.41099999999999998</v>
      </c>
      <c r="R65" s="5">
        <v>0.27900000000000003</v>
      </c>
      <c r="S65" s="5">
        <v>0.36599999999999999</v>
      </c>
      <c r="T65" s="5">
        <v>0.27900000000000003</v>
      </c>
      <c r="U65" s="5">
        <v>0.29599999999999999</v>
      </c>
      <c r="V65" s="5">
        <v>0.49299999999999999</v>
      </c>
      <c r="W65" t="s">
        <v>1318</v>
      </c>
      <c r="X65" t="s">
        <v>1319</v>
      </c>
      <c r="Y65" t="s">
        <v>1315</v>
      </c>
      <c r="Z65" t="s">
        <v>488</v>
      </c>
    </row>
    <row r="66" spans="1:26" x14ac:dyDescent="0.3">
      <c r="A66" t="s">
        <v>591</v>
      </c>
      <c r="B66" t="s">
        <v>164</v>
      </c>
      <c r="C66" t="s">
        <v>47</v>
      </c>
      <c r="D66" t="s">
        <v>484</v>
      </c>
      <c r="E66" t="s">
        <v>101</v>
      </c>
      <c r="F66" s="3">
        <v>8.9642400000000002</v>
      </c>
      <c r="G66" s="3">
        <v>-2.2123400000000002</v>
      </c>
      <c r="H66" s="5">
        <v>0.40600000000000003</v>
      </c>
      <c r="I66" s="5">
        <v>0.33200000000000002</v>
      </c>
      <c r="J66" s="5">
        <v>-1.9510000000000001</v>
      </c>
      <c r="K66" s="5">
        <v>-0.86299999999999999</v>
      </c>
      <c r="L66" s="5">
        <v>-0.59899999999999998</v>
      </c>
      <c r="M66" s="5">
        <v>1.169</v>
      </c>
      <c r="N66" s="5">
        <v>0.78400000000000003</v>
      </c>
      <c r="O66" s="5">
        <v>0.31</v>
      </c>
      <c r="P66" s="5">
        <v>0.14000000000000001</v>
      </c>
      <c r="Q66" s="5">
        <v>0.59299999999999997</v>
      </c>
      <c r="R66" s="5">
        <v>0.30299999999999999</v>
      </c>
      <c r="S66" s="5">
        <v>0.251</v>
      </c>
      <c r="T66" s="5">
        <v>0.14499999999999999</v>
      </c>
      <c r="U66" s="5">
        <v>0.187</v>
      </c>
      <c r="V66" s="5">
        <v>0.17699999999999999</v>
      </c>
      <c r="W66" t="s">
        <v>1312</v>
      </c>
      <c r="X66" t="s">
        <v>1313</v>
      </c>
      <c r="Y66" t="s">
        <v>1315</v>
      </c>
      <c r="Z66" t="s">
        <v>488</v>
      </c>
    </row>
    <row r="67" spans="1:26" x14ac:dyDescent="0.3">
      <c r="A67" t="s">
        <v>592</v>
      </c>
      <c r="B67" t="s">
        <v>164</v>
      </c>
      <c r="C67" t="s">
        <v>47</v>
      </c>
      <c r="D67" t="s">
        <v>490</v>
      </c>
      <c r="E67" t="s">
        <v>101</v>
      </c>
      <c r="F67" s="3">
        <v>8.9642400000000002</v>
      </c>
      <c r="G67" s="3">
        <v>-2.2123400000000002</v>
      </c>
      <c r="H67" s="5">
        <v>0.40600000000000003</v>
      </c>
      <c r="I67" s="5">
        <v>0.33200000000000002</v>
      </c>
      <c r="J67" s="5">
        <v>0.20100000000000001</v>
      </c>
      <c r="K67" s="5">
        <v>-0.94899999999999995</v>
      </c>
      <c r="L67" s="5">
        <v>0.112</v>
      </c>
      <c r="M67" s="5">
        <v>1.0289999999999999</v>
      </c>
      <c r="N67" s="5">
        <v>0.82199999999999995</v>
      </c>
      <c r="O67" s="5">
        <v>0.77</v>
      </c>
      <c r="P67" s="5">
        <v>0.48099999999999998</v>
      </c>
      <c r="Q67" s="5">
        <v>0.74299999999999999</v>
      </c>
      <c r="R67" s="5">
        <v>0.34799999999999998</v>
      </c>
      <c r="S67" s="5">
        <v>0.318</v>
      </c>
      <c r="T67" s="5">
        <v>0.13100000000000001</v>
      </c>
      <c r="U67" s="5">
        <v>0.27100000000000002</v>
      </c>
      <c r="V67" s="5">
        <v>0.41699999999999998</v>
      </c>
      <c r="W67" t="s">
        <v>1312</v>
      </c>
      <c r="X67" t="s">
        <v>1313</v>
      </c>
      <c r="Y67" t="s">
        <v>1315</v>
      </c>
      <c r="Z67" t="s">
        <v>488</v>
      </c>
    </row>
    <row r="68" spans="1:26" x14ac:dyDescent="0.3">
      <c r="A68" t="s">
        <v>593</v>
      </c>
      <c r="B68" t="s">
        <v>166</v>
      </c>
      <c r="C68" t="s">
        <v>47</v>
      </c>
      <c r="D68" t="s">
        <v>484</v>
      </c>
      <c r="E68" t="s">
        <v>75</v>
      </c>
      <c r="F68" s="3">
        <v>9.4963700000000006</v>
      </c>
      <c r="G68" s="3">
        <v>-1.0176400000000001</v>
      </c>
      <c r="H68" s="5">
        <v>0.54100000000000004</v>
      </c>
      <c r="I68" s="5">
        <v>0.371</v>
      </c>
      <c r="J68" s="5">
        <v>-0.55500000000000005</v>
      </c>
      <c r="K68" s="5">
        <v>0.83199999999999996</v>
      </c>
      <c r="L68" s="5">
        <v>-0.58299999999999996</v>
      </c>
      <c r="M68" s="5">
        <v>2.0790000000000002</v>
      </c>
      <c r="N68" s="5">
        <v>0.88400000000000001</v>
      </c>
      <c r="O68" s="5">
        <v>0.42799999999999999</v>
      </c>
      <c r="P68" s="5">
        <v>0.312</v>
      </c>
      <c r="Q68" s="5">
        <v>0.42499999999999999</v>
      </c>
      <c r="R68" s="5">
        <v>0.57099999999999995</v>
      </c>
      <c r="S68" s="5">
        <v>0.38500000000000001</v>
      </c>
      <c r="T68" s="5">
        <v>0.52700000000000002</v>
      </c>
      <c r="U68" s="5">
        <v>0.13100000000000001</v>
      </c>
      <c r="V68" s="5">
        <v>0.29699999999999999</v>
      </c>
      <c r="W68" t="s">
        <v>1316</v>
      </c>
      <c r="X68" t="s">
        <v>1317</v>
      </c>
      <c r="Y68" t="s">
        <v>1314</v>
      </c>
      <c r="Z68" t="s">
        <v>488</v>
      </c>
    </row>
    <row r="69" spans="1:26" x14ac:dyDescent="0.3">
      <c r="A69" t="s">
        <v>594</v>
      </c>
      <c r="B69" t="s">
        <v>166</v>
      </c>
      <c r="C69" t="s">
        <v>47</v>
      </c>
      <c r="D69" t="s">
        <v>490</v>
      </c>
      <c r="E69" t="s">
        <v>75</v>
      </c>
      <c r="F69" s="3">
        <v>9.4963700000000006</v>
      </c>
      <c r="G69" s="3">
        <v>-1.0176400000000001</v>
      </c>
      <c r="H69" s="5">
        <v>0.54100000000000004</v>
      </c>
      <c r="I69" s="5">
        <v>0.371</v>
      </c>
      <c r="J69" s="5">
        <v>0.79900000000000004</v>
      </c>
      <c r="K69" s="5">
        <v>0.57399999999999995</v>
      </c>
      <c r="L69" s="5">
        <v>-0.47299999999999998</v>
      </c>
      <c r="M69" s="5">
        <v>1.51</v>
      </c>
      <c r="N69" s="5">
        <v>0.79800000000000004</v>
      </c>
      <c r="O69" s="5">
        <v>0.58299999999999996</v>
      </c>
      <c r="P69" s="5">
        <v>0.54400000000000004</v>
      </c>
      <c r="Q69" s="5">
        <v>0.48899999999999999</v>
      </c>
      <c r="R69" s="5">
        <v>0.54300000000000004</v>
      </c>
      <c r="S69" s="5">
        <v>0.40600000000000003</v>
      </c>
      <c r="T69" s="5">
        <v>0.48399999999999999</v>
      </c>
      <c r="U69" s="5">
        <v>0.14399999999999999</v>
      </c>
      <c r="V69" s="5">
        <v>0.441</v>
      </c>
      <c r="W69" t="s">
        <v>1316</v>
      </c>
      <c r="X69" t="s">
        <v>1317</v>
      </c>
      <c r="Y69" t="s">
        <v>1315</v>
      </c>
      <c r="Z69" t="s">
        <v>488</v>
      </c>
    </row>
    <row r="70" spans="1:26" x14ac:dyDescent="0.3">
      <c r="A70" t="s">
        <v>595</v>
      </c>
      <c r="B70" t="s">
        <v>169</v>
      </c>
      <c r="C70" t="s">
        <v>47</v>
      </c>
      <c r="D70" t="s">
        <v>484</v>
      </c>
      <c r="E70" t="s">
        <v>75</v>
      </c>
      <c r="F70" s="3">
        <v>8.6816600000000008</v>
      </c>
      <c r="G70" s="3">
        <v>-0.86153999999999997</v>
      </c>
      <c r="H70" s="5">
        <v>0.64600000000000002</v>
      </c>
      <c r="I70" s="5">
        <v>0.436</v>
      </c>
      <c r="J70" s="5">
        <v>-0.872</v>
      </c>
      <c r="K70" s="5">
        <v>-0.442</v>
      </c>
      <c r="L70" s="5">
        <v>-0.86</v>
      </c>
      <c r="M70" s="5">
        <v>1.913</v>
      </c>
      <c r="N70" s="5">
        <v>0.84299999999999997</v>
      </c>
      <c r="O70" s="5">
        <v>0.52900000000000003</v>
      </c>
      <c r="P70" s="5">
        <v>0.36399999999999999</v>
      </c>
      <c r="Q70" s="5">
        <v>0.46200000000000002</v>
      </c>
      <c r="R70" s="5">
        <v>0.55900000000000005</v>
      </c>
      <c r="S70" s="5">
        <v>0.39800000000000002</v>
      </c>
      <c r="T70" s="5">
        <v>0.24399999999999999</v>
      </c>
      <c r="U70" s="5">
        <v>0.115</v>
      </c>
      <c r="V70" s="5">
        <v>0.314</v>
      </c>
      <c r="W70" t="s">
        <v>1312</v>
      </c>
      <c r="X70" t="s">
        <v>1313</v>
      </c>
      <c r="Y70" t="s">
        <v>1315</v>
      </c>
      <c r="Z70" t="s">
        <v>488</v>
      </c>
    </row>
    <row r="71" spans="1:26" x14ac:dyDescent="0.3">
      <c r="A71" t="s">
        <v>596</v>
      </c>
      <c r="B71" t="s">
        <v>169</v>
      </c>
      <c r="C71" t="s">
        <v>47</v>
      </c>
      <c r="D71" t="s">
        <v>490</v>
      </c>
      <c r="E71" t="s">
        <v>75</v>
      </c>
      <c r="F71" s="3">
        <v>8.6816600000000008</v>
      </c>
      <c r="G71" s="3">
        <v>-0.86153999999999997</v>
      </c>
      <c r="H71" s="5">
        <v>0.64600000000000002</v>
      </c>
      <c r="I71" s="5">
        <v>0.436</v>
      </c>
      <c r="J71" s="5">
        <v>1.268</v>
      </c>
      <c r="K71" s="5">
        <v>-0.72799999999999998</v>
      </c>
      <c r="L71" s="5">
        <v>-0.14000000000000001</v>
      </c>
      <c r="M71" s="5">
        <v>1.1779999999999999</v>
      </c>
      <c r="N71" s="5">
        <v>0.80500000000000005</v>
      </c>
      <c r="O71" s="5">
        <v>0.63200000000000001</v>
      </c>
      <c r="P71" s="5">
        <v>0.63200000000000001</v>
      </c>
      <c r="Q71" s="5">
        <v>0.46600000000000003</v>
      </c>
      <c r="R71" s="5">
        <v>0.54900000000000004</v>
      </c>
      <c r="S71" s="5">
        <v>0.254</v>
      </c>
      <c r="T71" s="5">
        <v>0.19600000000000001</v>
      </c>
      <c r="U71" s="5">
        <v>0.2</v>
      </c>
      <c r="V71" s="5">
        <v>0.49299999999999999</v>
      </c>
      <c r="W71" t="s">
        <v>1318</v>
      </c>
      <c r="X71" t="s">
        <v>1319</v>
      </c>
      <c r="Y71" t="s">
        <v>1315</v>
      </c>
      <c r="Z71" t="s">
        <v>488</v>
      </c>
    </row>
    <row r="72" spans="1:26" x14ac:dyDescent="0.3">
      <c r="A72" t="s">
        <v>598</v>
      </c>
      <c r="B72" t="s">
        <v>171</v>
      </c>
      <c r="C72" t="s">
        <v>47</v>
      </c>
      <c r="D72" t="s">
        <v>484</v>
      </c>
      <c r="E72" t="s">
        <v>75</v>
      </c>
      <c r="F72" s="3">
        <v>8.8998200000000001</v>
      </c>
      <c r="G72" s="3">
        <v>-1.8452</v>
      </c>
      <c r="H72" s="5">
        <v>0.61899999999999999</v>
      </c>
      <c r="I72" s="5">
        <v>0.40200000000000002</v>
      </c>
      <c r="J72" s="5">
        <v>-0.32500000000000001</v>
      </c>
      <c r="K72" s="5">
        <v>-0.90600000000000003</v>
      </c>
      <c r="L72" s="5">
        <v>0.54100000000000004</v>
      </c>
      <c r="M72" s="5">
        <v>1.6259999999999999</v>
      </c>
      <c r="N72" s="5">
        <v>0.78500000000000003</v>
      </c>
      <c r="O72" s="5">
        <v>0.497</v>
      </c>
      <c r="P72" s="5">
        <v>0.377</v>
      </c>
      <c r="Q72" s="5">
        <v>0.33500000000000002</v>
      </c>
      <c r="R72" s="5">
        <v>0.56899999999999995</v>
      </c>
      <c r="S72" s="5">
        <v>0.22800000000000001</v>
      </c>
      <c r="T72" s="5">
        <v>0.17899999999999999</v>
      </c>
      <c r="U72" s="5">
        <v>0.38300000000000001</v>
      </c>
      <c r="V72" s="5">
        <v>0.33500000000000002</v>
      </c>
      <c r="W72" t="s">
        <v>1312</v>
      </c>
      <c r="X72" t="s">
        <v>1313</v>
      </c>
      <c r="Y72" t="s">
        <v>1315</v>
      </c>
      <c r="Z72" t="s">
        <v>488</v>
      </c>
    </row>
    <row r="73" spans="1:26" x14ac:dyDescent="0.3">
      <c r="A73" t="s">
        <v>599</v>
      </c>
      <c r="B73" t="s">
        <v>171</v>
      </c>
      <c r="C73" t="s">
        <v>47</v>
      </c>
      <c r="D73" t="s">
        <v>490</v>
      </c>
      <c r="E73" t="s">
        <v>75</v>
      </c>
      <c r="F73" s="3">
        <v>8.8998200000000001</v>
      </c>
      <c r="G73" s="3">
        <v>-1.8452</v>
      </c>
      <c r="H73" s="5">
        <v>0.61899999999999999</v>
      </c>
      <c r="I73" s="5">
        <v>0.40200000000000002</v>
      </c>
      <c r="J73" s="5">
        <v>6.4000000000000001E-2</v>
      </c>
      <c r="K73" s="5">
        <v>-0.622</v>
      </c>
      <c r="L73" s="5">
        <v>0.91800000000000004</v>
      </c>
      <c r="M73" s="5">
        <v>1.2470000000000001</v>
      </c>
      <c r="N73" s="5">
        <v>0.72099999999999997</v>
      </c>
      <c r="O73" s="5">
        <v>0.59899999999999998</v>
      </c>
      <c r="P73" s="5">
        <v>0.54100000000000004</v>
      </c>
      <c r="Q73" s="5">
        <v>0.46300000000000002</v>
      </c>
      <c r="R73" s="5">
        <v>0.55000000000000004</v>
      </c>
      <c r="S73" s="5">
        <v>0.153</v>
      </c>
      <c r="T73" s="5">
        <v>0.22700000000000001</v>
      </c>
      <c r="U73" s="5">
        <v>0.42799999999999999</v>
      </c>
      <c r="V73" s="5">
        <v>0.41599999999999998</v>
      </c>
      <c r="W73" t="s">
        <v>1322</v>
      </c>
      <c r="X73" t="s">
        <v>1323</v>
      </c>
      <c r="Y73" t="s">
        <v>1314</v>
      </c>
      <c r="Z73" t="s">
        <v>488</v>
      </c>
    </row>
    <row r="74" spans="1:26" x14ac:dyDescent="0.3">
      <c r="A74" t="s">
        <v>600</v>
      </c>
      <c r="B74" t="s">
        <v>173</v>
      </c>
      <c r="C74" t="s">
        <v>47</v>
      </c>
      <c r="D74" t="s">
        <v>484</v>
      </c>
      <c r="E74" t="s">
        <v>101</v>
      </c>
      <c r="F74" s="3">
        <v>9.8082600000000006</v>
      </c>
      <c r="G74" s="3">
        <v>-0.53390000000000004</v>
      </c>
      <c r="H74" s="5">
        <v>0.60599999999999998</v>
      </c>
      <c r="I74" s="5">
        <v>0.38200000000000001</v>
      </c>
      <c r="J74" s="5">
        <v>0.24</v>
      </c>
      <c r="K74" s="5">
        <v>9.8000000000000004E-2</v>
      </c>
      <c r="L74" s="5">
        <v>-0.34100000000000003</v>
      </c>
      <c r="M74" s="5">
        <v>1.37</v>
      </c>
      <c r="N74" s="5">
        <v>0.92600000000000005</v>
      </c>
      <c r="O74" s="5">
        <v>0.42299999999999999</v>
      </c>
      <c r="P74" s="5">
        <v>0.39</v>
      </c>
      <c r="Q74" s="5">
        <v>0.71699999999999997</v>
      </c>
      <c r="R74" s="5">
        <v>0.27600000000000002</v>
      </c>
      <c r="S74" s="5">
        <v>0.28100000000000003</v>
      </c>
      <c r="T74" s="5">
        <v>0.36699999999999999</v>
      </c>
      <c r="U74" s="5">
        <v>0.21199999999999999</v>
      </c>
      <c r="V74" s="5">
        <v>0.35099999999999998</v>
      </c>
      <c r="W74" t="s">
        <v>1312</v>
      </c>
      <c r="X74" t="s">
        <v>1313</v>
      </c>
      <c r="Y74" t="s">
        <v>1315</v>
      </c>
      <c r="Z74" t="s">
        <v>488</v>
      </c>
    </row>
    <row r="75" spans="1:26" x14ac:dyDescent="0.3">
      <c r="A75" t="s">
        <v>601</v>
      </c>
      <c r="B75" t="s">
        <v>173</v>
      </c>
      <c r="C75" t="s">
        <v>47</v>
      </c>
      <c r="D75" t="s">
        <v>490</v>
      </c>
      <c r="E75" t="s">
        <v>101</v>
      </c>
      <c r="F75" s="3">
        <v>9.8082600000000006</v>
      </c>
      <c r="G75" s="3">
        <v>-0.53390000000000004</v>
      </c>
      <c r="H75" s="5">
        <v>0.60599999999999998</v>
      </c>
      <c r="I75" s="5">
        <v>0.38200000000000001</v>
      </c>
      <c r="J75" s="5">
        <v>0.27300000000000002</v>
      </c>
      <c r="K75" s="5">
        <v>1.2999999999999999E-2</v>
      </c>
      <c r="L75" s="5">
        <v>-2.1000000000000001E-2</v>
      </c>
      <c r="M75" s="5">
        <v>1.006</v>
      </c>
      <c r="N75" s="5">
        <v>0.75</v>
      </c>
      <c r="O75" s="5">
        <v>0.6</v>
      </c>
      <c r="P75" s="5">
        <v>0.54700000000000004</v>
      </c>
      <c r="Q75" s="5">
        <v>0.70899999999999996</v>
      </c>
      <c r="R75" s="5">
        <v>0.32</v>
      </c>
      <c r="S75" s="5">
        <v>0.158</v>
      </c>
      <c r="T75" s="5">
        <v>0.35299999999999998</v>
      </c>
      <c r="U75" s="5">
        <v>0.25</v>
      </c>
      <c r="V75" s="5">
        <v>0.42499999999999999</v>
      </c>
      <c r="W75" t="s">
        <v>1312</v>
      </c>
      <c r="X75" t="s">
        <v>1313</v>
      </c>
      <c r="Y75" t="s">
        <v>1315</v>
      </c>
      <c r="Z75" t="s">
        <v>488</v>
      </c>
    </row>
    <row r="76" spans="1:26" x14ac:dyDescent="0.3">
      <c r="A76" t="s">
        <v>602</v>
      </c>
      <c r="B76" t="s">
        <v>175</v>
      </c>
      <c r="C76" t="s">
        <v>47</v>
      </c>
      <c r="D76" t="s">
        <v>484</v>
      </c>
      <c r="E76" t="s">
        <v>101</v>
      </c>
      <c r="F76" s="3">
        <v>8.8586299999999998</v>
      </c>
      <c r="G76" s="3">
        <v>-0.38163000000000002</v>
      </c>
      <c r="H76" s="5">
        <v>0.48599999999999999</v>
      </c>
      <c r="I76" s="5">
        <v>0.12</v>
      </c>
      <c r="J76" s="5">
        <v>-1.3560000000000001</v>
      </c>
      <c r="K76" s="5">
        <v>-0.81899999999999995</v>
      </c>
      <c r="L76" s="5">
        <v>-0.44700000000000001</v>
      </c>
      <c r="M76" s="5">
        <v>0.98199999999999998</v>
      </c>
      <c r="N76" s="5">
        <v>0.69299999999999995</v>
      </c>
      <c r="O76" s="5">
        <v>0.63700000000000001</v>
      </c>
      <c r="P76" s="5">
        <v>0.27900000000000003</v>
      </c>
      <c r="Q76" s="5">
        <v>0.626</v>
      </c>
      <c r="R76" s="5">
        <v>0.30499999999999999</v>
      </c>
      <c r="S76" s="5">
        <v>0.153</v>
      </c>
      <c r="T76" s="5">
        <v>0.19</v>
      </c>
      <c r="U76" s="5">
        <v>0.155</v>
      </c>
      <c r="V76" s="5">
        <v>0.27900000000000003</v>
      </c>
      <c r="W76" t="s">
        <v>1312</v>
      </c>
      <c r="X76" t="s">
        <v>1313</v>
      </c>
      <c r="Y76" t="s">
        <v>1315</v>
      </c>
      <c r="Z76" t="s">
        <v>488</v>
      </c>
    </row>
    <row r="77" spans="1:26" x14ac:dyDescent="0.3">
      <c r="A77" t="s">
        <v>603</v>
      </c>
      <c r="B77" t="s">
        <v>175</v>
      </c>
      <c r="C77" t="s">
        <v>47</v>
      </c>
      <c r="D77" t="s">
        <v>490</v>
      </c>
      <c r="E77" t="s">
        <v>101</v>
      </c>
      <c r="F77" s="3">
        <v>8.8586299999999998</v>
      </c>
      <c r="G77" s="3">
        <v>-0.38163000000000002</v>
      </c>
      <c r="H77" s="5">
        <v>0.48599999999999999</v>
      </c>
      <c r="I77" s="5">
        <v>0.12</v>
      </c>
      <c r="J77" s="5">
        <v>0.39700000000000002</v>
      </c>
      <c r="K77" s="5">
        <v>5.0000000000000001E-3</v>
      </c>
      <c r="L77" s="5">
        <v>-0.495</v>
      </c>
      <c r="M77" s="5">
        <v>1.0980000000000001</v>
      </c>
      <c r="N77" s="5">
        <v>0.72099999999999997</v>
      </c>
      <c r="O77" s="5">
        <v>0.54900000000000004</v>
      </c>
      <c r="P77" s="5">
        <v>0.48699999999999999</v>
      </c>
      <c r="Q77" s="5">
        <v>0.75800000000000001</v>
      </c>
      <c r="R77" s="5">
        <v>0.28199999999999997</v>
      </c>
      <c r="S77" s="5">
        <v>0.26</v>
      </c>
      <c r="T77" s="5">
        <v>0.32700000000000001</v>
      </c>
      <c r="U77" s="5">
        <v>0.14899999999999999</v>
      </c>
      <c r="V77" s="5">
        <v>0.40300000000000002</v>
      </c>
      <c r="W77" t="s">
        <v>1312</v>
      </c>
      <c r="X77" t="s">
        <v>1313</v>
      </c>
      <c r="Y77" t="s">
        <v>1315</v>
      </c>
      <c r="Z77" t="s">
        <v>488</v>
      </c>
    </row>
    <row r="78" spans="1:26" x14ac:dyDescent="0.3">
      <c r="A78" t="s">
        <v>605</v>
      </c>
      <c r="B78" t="s">
        <v>177</v>
      </c>
      <c r="C78" t="s">
        <v>47</v>
      </c>
      <c r="D78" t="s">
        <v>484</v>
      </c>
      <c r="E78" t="s">
        <v>142</v>
      </c>
      <c r="F78" s="3">
        <v>10.42914</v>
      </c>
      <c r="G78" s="3">
        <v>7.5490000000000002E-2</v>
      </c>
      <c r="H78" s="5">
        <v>0.65800000000000003</v>
      </c>
      <c r="I78" s="5">
        <v>0.17499999999999999</v>
      </c>
      <c r="J78" s="5">
        <v>-1.6020000000000001</v>
      </c>
      <c r="K78" s="5">
        <v>-0.57099999999999995</v>
      </c>
      <c r="L78" s="5">
        <v>-0.72699999999999998</v>
      </c>
      <c r="M78" s="5">
        <v>0.89800000000000002</v>
      </c>
      <c r="N78" s="5">
        <v>0.72299999999999998</v>
      </c>
      <c r="O78" s="5">
        <v>0.86299999999999999</v>
      </c>
      <c r="P78" s="5">
        <v>0.39300000000000002</v>
      </c>
      <c r="Q78" s="5">
        <v>0.31900000000000001</v>
      </c>
      <c r="R78" s="5">
        <v>0.35399999999999998</v>
      </c>
      <c r="S78" s="5">
        <v>0.26800000000000002</v>
      </c>
      <c r="T78" s="5">
        <v>0.23599999999999999</v>
      </c>
      <c r="U78" s="5">
        <v>0.115</v>
      </c>
      <c r="V78" s="5">
        <v>0.33300000000000002</v>
      </c>
      <c r="W78" t="s">
        <v>1318</v>
      </c>
      <c r="X78" t="s">
        <v>1319</v>
      </c>
      <c r="Y78" t="s">
        <v>1314</v>
      </c>
      <c r="Z78" t="s">
        <v>488</v>
      </c>
    </row>
    <row r="79" spans="1:26" x14ac:dyDescent="0.3">
      <c r="A79" t="s">
        <v>607</v>
      </c>
      <c r="B79" t="s">
        <v>177</v>
      </c>
      <c r="C79" t="s">
        <v>47</v>
      </c>
      <c r="D79" t="s">
        <v>490</v>
      </c>
      <c r="E79" t="s">
        <v>142</v>
      </c>
      <c r="F79" s="3">
        <v>10.42914</v>
      </c>
      <c r="G79" s="3">
        <v>7.5490000000000002E-2</v>
      </c>
      <c r="H79" s="5">
        <v>0.65800000000000003</v>
      </c>
      <c r="I79" s="5">
        <v>0.17499999999999999</v>
      </c>
      <c r="J79" s="5">
        <v>-0.17399999999999999</v>
      </c>
      <c r="K79" s="5">
        <v>-0.4</v>
      </c>
      <c r="L79" s="5">
        <v>-0.35699999999999998</v>
      </c>
      <c r="M79" s="5">
        <v>0.99299999999999999</v>
      </c>
      <c r="N79" s="5">
        <v>0.68200000000000005</v>
      </c>
      <c r="O79" s="5">
        <v>0.874</v>
      </c>
      <c r="P79" s="5">
        <v>0.6</v>
      </c>
      <c r="Q79" s="5">
        <v>0.48099999999999998</v>
      </c>
      <c r="R79" s="5">
        <v>0.32200000000000001</v>
      </c>
      <c r="S79" s="5">
        <v>0.14899999999999999</v>
      </c>
      <c r="T79" s="5">
        <v>0.26500000000000001</v>
      </c>
      <c r="U79" s="5">
        <v>0.159</v>
      </c>
      <c r="V79" s="5">
        <v>0.45600000000000002</v>
      </c>
      <c r="W79" t="s">
        <v>1318</v>
      </c>
      <c r="X79" t="s">
        <v>1319</v>
      </c>
      <c r="Y79" t="s">
        <v>1315</v>
      </c>
      <c r="Z79" t="s">
        <v>488</v>
      </c>
    </row>
    <row r="80" spans="1:26" x14ac:dyDescent="0.3">
      <c r="A80" t="s">
        <v>609</v>
      </c>
      <c r="B80" t="s">
        <v>179</v>
      </c>
      <c r="C80" t="s">
        <v>47</v>
      </c>
      <c r="D80" t="s">
        <v>484</v>
      </c>
      <c r="E80" t="s">
        <v>101</v>
      </c>
      <c r="F80" s="3">
        <v>8.4706799999999998</v>
      </c>
      <c r="G80" s="3">
        <v>-1.28383</v>
      </c>
      <c r="H80" s="5">
        <v>0.55600000000000005</v>
      </c>
      <c r="I80" s="5">
        <v>0.42099999999999999</v>
      </c>
      <c r="J80" s="5">
        <v>-1.4079999999999999</v>
      </c>
      <c r="K80" s="5">
        <v>-1.071</v>
      </c>
      <c r="L80" s="5">
        <v>-0.54800000000000004</v>
      </c>
      <c r="M80" s="5">
        <v>0.90100000000000002</v>
      </c>
      <c r="N80" s="5">
        <v>0.75600000000000001</v>
      </c>
      <c r="O80" s="5">
        <v>0.54900000000000004</v>
      </c>
      <c r="P80" s="5">
        <v>0.29199999999999998</v>
      </c>
      <c r="Q80" s="5">
        <v>0.63900000000000001</v>
      </c>
      <c r="R80" s="5">
        <v>0.313</v>
      </c>
      <c r="S80" s="5">
        <v>0.18</v>
      </c>
      <c r="T80" s="5">
        <v>0.13</v>
      </c>
      <c r="U80" s="5">
        <v>0.151</v>
      </c>
      <c r="V80" s="5">
        <v>0.27300000000000002</v>
      </c>
      <c r="W80" t="s">
        <v>1312</v>
      </c>
      <c r="X80" t="s">
        <v>1313</v>
      </c>
      <c r="Y80" t="s">
        <v>1315</v>
      </c>
      <c r="Z80" t="s">
        <v>488</v>
      </c>
    </row>
    <row r="81" spans="1:26" x14ac:dyDescent="0.3">
      <c r="A81" t="s">
        <v>610</v>
      </c>
      <c r="B81" t="s">
        <v>179</v>
      </c>
      <c r="C81" t="s">
        <v>47</v>
      </c>
      <c r="D81" t="s">
        <v>490</v>
      </c>
      <c r="E81" t="s">
        <v>101</v>
      </c>
      <c r="F81" s="3">
        <v>8.4706799999999998</v>
      </c>
      <c r="G81" s="3">
        <v>-1.28383</v>
      </c>
      <c r="H81" s="5">
        <v>0.55600000000000005</v>
      </c>
      <c r="I81" s="5">
        <v>0.42099999999999999</v>
      </c>
      <c r="J81" s="5">
        <v>1</v>
      </c>
      <c r="K81" s="5">
        <v>-0.626</v>
      </c>
      <c r="L81" s="5">
        <v>-0.17199999999999999</v>
      </c>
      <c r="M81" s="5">
        <v>1.008</v>
      </c>
      <c r="N81" s="5">
        <v>0.73099999999999998</v>
      </c>
      <c r="O81" s="5">
        <v>0.79700000000000004</v>
      </c>
      <c r="P81" s="5">
        <v>0.60599999999999998</v>
      </c>
      <c r="Q81" s="5">
        <v>0.73599999999999999</v>
      </c>
      <c r="R81" s="5">
        <v>0.29699999999999999</v>
      </c>
      <c r="S81" s="5">
        <v>0.26300000000000001</v>
      </c>
      <c r="T81" s="5">
        <v>0.20399999999999999</v>
      </c>
      <c r="U81" s="5">
        <v>0.19500000000000001</v>
      </c>
      <c r="V81" s="5">
        <v>0.49099999999999999</v>
      </c>
      <c r="W81" t="s">
        <v>1312</v>
      </c>
      <c r="X81" t="s">
        <v>1313</v>
      </c>
      <c r="Y81" t="s">
        <v>1315</v>
      </c>
      <c r="Z81" t="s">
        <v>488</v>
      </c>
    </row>
    <row r="82" spans="1:26" x14ac:dyDescent="0.3">
      <c r="A82" t="s">
        <v>612</v>
      </c>
      <c r="B82" t="s">
        <v>182</v>
      </c>
      <c r="C82" t="s">
        <v>49</v>
      </c>
      <c r="D82" t="s">
        <v>484</v>
      </c>
      <c r="E82" t="s">
        <v>142</v>
      </c>
      <c r="F82" s="3">
        <v>10.4512</v>
      </c>
      <c r="G82" s="3">
        <v>8.7919999999999998E-2</v>
      </c>
      <c r="H82" s="5">
        <v>0.6</v>
      </c>
      <c r="I82" s="5">
        <v>0.21199999999999999</v>
      </c>
      <c r="J82" s="5">
        <v>-1.5760000000000001</v>
      </c>
      <c r="K82" s="5">
        <v>-1.2430000000000001</v>
      </c>
      <c r="L82" s="5">
        <v>-1.04</v>
      </c>
      <c r="M82" s="5">
        <v>1.087</v>
      </c>
      <c r="N82" s="5">
        <v>0.745</v>
      </c>
      <c r="O82" s="5">
        <v>0.63700000000000001</v>
      </c>
      <c r="P82" s="5">
        <v>0.32100000000000001</v>
      </c>
      <c r="Q82" s="5">
        <v>0.41399999999999998</v>
      </c>
      <c r="R82" s="5">
        <v>0.30399999999999999</v>
      </c>
      <c r="S82" s="5">
        <v>0.20799999999999999</v>
      </c>
      <c r="T82" s="5">
        <v>0.04</v>
      </c>
      <c r="U82" s="5">
        <v>6.6000000000000003E-2</v>
      </c>
      <c r="V82" s="5">
        <v>0.28599999999999998</v>
      </c>
      <c r="W82" t="s">
        <v>1312</v>
      </c>
      <c r="X82" t="s">
        <v>1313</v>
      </c>
      <c r="Y82" t="s">
        <v>1314</v>
      </c>
      <c r="Z82" t="s">
        <v>488</v>
      </c>
    </row>
    <row r="83" spans="1:26" x14ac:dyDescent="0.3">
      <c r="A83" t="s">
        <v>613</v>
      </c>
      <c r="B83" t="s">
        <v>182</v>
      </c>
      <c r="C83" t="s">
        <v>49</v>
      </c>
      <c r="D83" t="s">
        <v>490</v>
      </c>
      <c r="E83" t="s">
        <v>142</v>
      </c>
      <c r="F83" s="3">
        <v>10.4512</v>
      </c>
      <c r="G83" s="3">
        <v>8.7919999999999998E-2</v>
      </c>
      <c r="H83" s="5">
        <v>0.6</v>
      </c>
      <c r="I83" s="5">
        <v>0.21199999999999999</v>
      </c>
      <c r="J83" s="5">
        <v>1.5549999999999999</v>
      </c>
      <c r="K83" s="5">
        <v>-0.78900000000000003</v>
      </c>
      <c r="L83" s="5">
        <v>-0.52</v>
      </c>
      <c r="M83" s="5">
        <v>0.97099999999999997</v>
      </c>
      <c r="N83" s="5">
        <v>0.73199999999999998</v>
      </c>
      <c r="O83" s="5">
        <v>0.80800000000000005</v>
      </c>
      <c r="P83" s="5">
        <v>0.66300000000000003</v>
      </c>
      <c r="Q83" s="5">
        <v>0.42599999999999999</v>
      </c>
      <c r="R83" s="5">
        <v>0.33600000000000002</v>
      </c>
      <c r="S83" s="5">
        <v>0.16300000000000001</v>
      </c>
      <c r="T83" s="5">
        <v>0.115</v>
      </c>
      <c r="U83" s="5">
        <v>0.128</v>
      </c>
      <c r="V83" s="5">
        <v>0.53100000000000003</v>
      </c>
      <c r="W83" t="s">
        <v>1318</v>
      </c>
      <c r="X83" t="s">
        <v>1319</v>
      </c>
      <c r="Y83" t="s">
        <v>1315</v>
      </c>
      <c r="Z83" t="s">
        <v>488</v>
      </c>
    </row>
    <row r="84" spans="1:26" x14ac:dyDescent="0.3">
      <c r="A84" t="s">
        <v>614</v>
      </c>
      <c r="B84" t="s">
        <v>186</v>
      </c>
      <c r="C84" t="s">
        <v>49</v>
      </c>
      <c r="D84" t="s">
        <v>484</v>
      </c>
      <c r="E84" t="s">
        <v>75</v>
      </c>
      <c r="F84" s="3">
        <v>9.8981499999999993</v>
      </c>
      <c r="G84" s="3">
        <v>-0.30453999999999998</v>
      </c>
      <c r="H84" s="5">
        <v>0.53700000000000003</v>
      </c>
      <c r="I84" s="5">
        <v>0.48</v>
      </c>
      <c r="J84" s="5">
        <v>-1.429</v>
      </c>
      <c r="K84" s="5">
        <v>-0.214</v>
      </c>
      <c r="L84" s="5">
        <v>-0.73799999999999999</v>
      </c>
      <c r="M84" s="5">
        <v>1.75</v>
      </c>
      <c r="N84" s="5">
        <v>0.81699999999999995</v>
      </c>
      <c r="O84" s="5">
        <v>0.48899999999999999</v>
      </c>
      <c r="P84" s="5">
        <v>0.27</v>
      </c>
      <c r="Q84" s="5">
        <v>0.376</v>
      </c>
      <c r="R84" s="5">
        <v>0.53800000000000003</v>
      </c>
      <c r="S84" s="5">
        <v>0.46600000000000003</v>
      </c>
      <c r="T84" s="5">
        <v>0.33</v>
      </c>
      <c r="U84" s="5">
        <v>0.13</v>
      </c>
      <c r="V84" s="5">
        <v>0.25900000000000001</v>
      </c>
      <c r="W84" t="s">
        <v>1312</v>
      </c>
      <c r="X84" t="s">
        <v>1313</v>
      </c>
      <c r="Y84" t="s">
        <v>1315</v>
      </c>
      <c r="Z84" t="s">
        <v>488</v>
      </c>
    </row>
    <row r="85" spans="1:26" x14ac:dyDescent="0.3">
      <c r="A85" t="s">
        <v>615</v>
      </c>
      <c r="B85" t="s">
        <v>186</v>
      </c>
      <c r="C85" t="s">
        <v>49</v>
      </c>
      <c r="D85" t="s">
        <v>490</v>
      </c>
      <c r="E85" t="s">
        <v>75</v>
      </c>
      <c r="F85" s="3">
        <v>9.8981499999999993</v>
      </c>
      <c r="G85" s="3">
        <v>-0.30453999999999998</v>
      </c>
      <c r="H85" s="5">
        <v>0.53700000000000003</v>
      </c>
      <c r="I85" s="5">
        <v>0.48</v>
      </c>
      <c r="J85" s="5">
        <v>0.72699999999999998</v>
      </c>
      <c r="K85" s="5">
        <v>1.415</v>
      </c>
      <c r="L85" s="5">
        <v>0.24199999999999999</v>
      </c>
      <c r="M85" s="5">
        <v>1.2410000000000001</v>
      </c>
      <c r="N85" s="5">
        <v>0.69399999999999995</v>
      </c>
      <c r="O85" s="5">
        <v>0.73299999999999998</v>
      </c>
      <c r="P85" s="5">
        <v>0.56799999999999995</v>
      </c>
      <c r="Q85" s="5">
        <v>0.45</v>
      </c>
      <c r="R85" s="5">
        <v>0.55000000000000004</v>
      </c>
      <c r="S85" s="5">
        <v>0.33100000000000002</v>
      </c>
      <c r="T85" s="5">
        <v>0.60099999999999998</v>
      </c>
      <c r="U85" s="5">
        <v>0.246</v>
      </c>
      <c r="V85" s="5">
        <v>0.46200000000000002</v>
      </c>
      <c r="W85" t="s">
        <v>1316</v>
      </c>
      <c r="X85" t="s">
        <v>1317</v>
      </c>
      <c r="Y85" t="s">
        <v>1315</v>
      </c>
      <c r="Z85" t="s">
        <v>488</v>
      </c>
    </row>
    <row r="86" spans="1:26" x14ac:dyDescent="0.3">
      <c r="A86" t="s">
        <v>616</v>
      </c>
      <c r="B86" t="s">
        <v>189</v>
      </c>
      <c r="C86" t="s">
        <v>49</v>
      </c>
      <c r="D86" t="s">
        <v>484</v>
      </c>
      <c r="E86" t="s">
        <v>142</v>
      </c>
      <c r="F86" s="3">
        <v>10.76918</v>
      </c>
      <c r="G86" s="3">
        <v>-1.24047</v>
      </c>
      <c r="H86" s="5">
        <v>0.6</v>
      </c>
      <c r="I86" s="5">
        <v>0.61099999999999999</v>
      </c>
      <c r="J86" s="5">
        <v>-1.1060000000000001</v>
      </c>
      <c r="K86" s="5">
        <v>-0.68200000000000005</v>
      </c>
      <c r="L86" s="5">
        <v>-0.88500000000000001</v>
      </c>
      <c r="M86" s="5">
        <v>1.327</v>
      </c>
      <c r="N86" s="5">
        <v>0.86899999999999999</v>
      </c>
      <c r="O86" s="5">
        <v>0.51200000000000001</v>
      </c>
      <c r="P86" s="5">
        <v>0.32400000000000001</v>
      </c>
      <c r="Q86" s="5">
        <v>0.33700000000000002</v>
      </c>
      <c r="R86" s="5">
        <v>0.28599999999999998</v>
      </c>
      <c r="S86" s="5">
        <v>0.32800000000000001</v>
      </c>
      <c r="T86" s="5">
        <v>0.17699999999999999</v>
      </c>
      <c r="U86" s="5">
        <v>7.5999999999999998E-2</v>
      </c>
      <c r="V86" s="5">
        <v>0.29099999999999998</v>
      </c>
      <c r="W86" t="s">
        <v>1320</v>
      </c>
      <c r="X86" t="s">
        <v>1321</v>
      </c>
      <c r="Y86" t="s">
        <v>1315</v>
      </c>
      <c r="Z86" t="s">
        <v>488</v>
      </c>
    </row>
    <row r="87" spans="1:26" x14ac:dyDescent="0.3">
      <c r="A87" t="s">
        <v>617</v>
      </c>
      <c r="B87" t="s">
        <v>189</v>
      </c>
      <c r="C87" t="s">
        <v>49</v>
      </c>
      <c r="D87" t="s">
        <v>490</v>
      </c>
      <c r="E87" t="s">
        <v>142</v>
      </c>
      <c r="F87" s="3">
        <v>10.76918</v>
      </c>
      <c r="G87" s="3">
        <v>-1.24047</v>
      </c>
      <c r="H87" s="5">
        <v>0.6</v>
      </c>
      <c r="I87" s="5">
        <v>0.61099999999999999</v>
      </c>
      <c r="J87" s="5">
        <v>-0.18</v>
      </c>
      <c r="K87" s="5">
        <v>-0.73499999999999999</v>
      </c>
      <c r="L87" s="5">
        <v>-0.66100000000000003</v>
      </c>
      <c r="M87" s="5">
        <v>0.995</v>
      </c>
      <c r="N87" s="5">
        <v>0.7</v>
      </c>
      <c r="O87" s="5">
        <v>0.78500000000000003</v>
      </c>
      <c r="P87" s="5">
        <v>0.55400000000000005</v>
      </c>
      <c r="Q87" s="5">
        <v>0.38</v>
      </c>
      <c r="R87" s="5">
        <v>0.314</v>
      </c>
      <c r="S87" s="5">
        <v>0.20399999999999999</v>
      </c>
      <c r="T87" s="5">
        <v>0.16800000000000001</v>
      </c>
      <c r="U87" s="5">
        <v>0.10299999999999999</v>
      </c>
      <c r="V87" s="5">
        <v>0.43099999999999999</v>
      </c>
      <c r="W87" t="s">
        <v>1318</v>
      </c>
      <c r="X87" t="s">
        <v>1319</v>
      </c>
      <c r="Y87" t="s">
        <v>1315</v>
      </c>
      <c r="Z87" t="s">
        <v>488</v>
      </c>
    </row>
    <row r="88" spans="1:26" x14ac:dyDescent="0.3">
      <c r="A88" t="s">
        <v>618</v>
      </c>
      <c r="B88" t="s">
        <v>192</v>
      </c>
      <c r="C88" t="s">
        <v>49</v>
      </c>
      <c r="D88" t="s">
        <v>484</v>
      </c>
      <c r="E88" t="s">
        <v>101</v>
      </c>
      <c r="F88" s="3">
        <v>9.74254</v>
      </c>
      <c r="G88" s="3">
        <v>-0.63134000000000001</v>
      </c>
      <c r="H88" s="5">
        <v>0.61599999999999999</v>
      </c>
      <c r="I88" s="5">
        <v>0.35799999999999998</v>
      </c>
      <c r="J88" s="5">
        <v>-0.48499999999999999</v>
      </c>
      <c r="K88" s="5">
        <v>3.2080000000000002</v>
      </c>
      <c r="L88" s="5">
        <v>-0.49199999999999999</v>
      </c>
      <c r="M88" s="5">
        <v>1.1739999999999999</v>
      </c>
      <c r="N88" s="5">
        <v>0.64800000000000002</v>
      </c>
      <c r="O88" s="5">
        <v>0.61099999999999999</v>
      </c>
      <c r="P88" s="5">
        <v>0.38900000000000001</v>
      </c>
      <c r="Q88" s="5">
        <v>0.68300000000000005</v>
      </c>
      <c r="R88" s="5">
        <v>0.28399999999999997</v>
      </c>
      <c r="S88" s="5">
        <v>0.19</v>
      </c>
      <c r="T88" s="5">
        <v>0.97099999999999997</v>
      </c>
      <c r="U88" s="5">
        <v>0.186</v>
      </c>
      <c r="V88" s="5">
        <v>0.34499999999999997</v>
      </c>
      <c r="W88" t="s">
        <v>1316</v>
      </c>
      <c r="X88" t="s">
        <v>1317</v>
      </c>
      <c r="Y88" t="s">
        <v>1315</v>
      </c>
      <c r="Z88" t="s">
        <v>517</v>
      </c>
    </row>
    <row r="89" spans="1:26" x14ac:dyDescent="0.3">
      <c r="A89" t="s">
        <v>619</v>
      </c>
      <c r="B89" t="s">
        <v>192</v>
      </c>
      <c r="C89" t="s">
        <v>49</v>
      </c>
      <c r="D89" t="s">
        <v>490</v>
      </c>
      <c r="E89" t="s">
        <v>101</v>
      </c>
      <c r="F89" s="3">
        <v>9.74254</v>
      </c>
      <c r="G89" s="3">
        <v>-0.63134000000000001</v>
      </c>
      <c r="H89" s="5">
        <v>0.61599999999999999</v>
      </c>
      <c r="I89" s="5">
        <v>0.35799999999999998</v>
      </c>
      <c r="J89" s="5">
        <v>1.619</v>
      </c>
      <c r="K89" s="5">
        <v>1.8089999999999999</v>
      </c>
      <c r="L89" s="5">
        <v>0.17899999999999999</v>
      </c>
      <c r="M89" s="5">
        <v>1.397</v>
      </c>
      <c r="N89" s="5">
        <v>0.80600000000000005</v>
      </c>
      <c r="O89" s="5">
        <v>0.54600000000000004</v>
      </c>
      <c r="P89" s="5">
        <v>0.622</v>
      </c>
      <c r="Q89" s="5">
        <v>0.79</v>
      </c>
      <c r="R89" s="5">
        <v>0.20899999999999999</v>
      </c>
      <c r="S89" s="5">
        <v>0.41</v>
      </c>
      <c r="T89" s="5">
        <v>0.73799999999999999</v>
      </c>
      <c r="U89" s="5">
        <v>0.26600000000000001</v>
      </c>
      <c r="V89" s="5">
        <v>0.49299999999999999</v>
      </c>
      <c r="W89" t="s">
        <v>1316</v>
      </c>
      <c r="X89" t="s">
        <v>1317</v>
      </c>
      <c r="Y89" t="s">
        <v>1315</v>
      </c>
      <c r="Z89" t="s">
        <v>543</v>
      </c>
    </row>
    <row r="90" spans="1:26" x14ac:dyDescent="0.3">
      <c r="A90" t="s">
        <v>620</v>
      </c>
      <c r="B90" t="s">
        <v>194</v>
      </c>
      <c r="C90" t="s">
        <v>49</v>
      </c>
      <c r="D90" t="s">
        <v>484</v>
      </c>
      <c r="E90" t="s">
        <v>142</v>
      </c>
      <c r="F90" s="3">
        <v>10.428369999999999</v>
      </c>
      <c r="G90" s="3">
        <v>5.7579999999999999E-2</v>
      </c>
      <c r="H90" s="5">
        <v>0.66500000000000004</v>
      </c>
      <c r="I90" s="5">
        <v>0.25600000000000001</v>
      </c>
      <c r="J90" s="5">
        <v>-0.38800000000000001</v>
      </c>
      <c r="K90" s="5">
        <v>1.1020000000000001</v>
      </c>
      <c r="L90" s="5">
        <v>-0.77900000000000003</v>
      </c>
      <c r="M90" s="5">
        <v>1.1910000000000001</v>
      </c>
      <c r="N90" s="5">
        <v>0.75</v>
      </c>
      <c r="O90" s="5">
        <v>0.64</v>
      </c>
      <c r="P90" s="5">
        <v>0.42399999999999999</v>
      </c>
      <c r="Q90" s="5">
        <v>0.36099999999999999</v>
      </c>
      <c r="R90" s="5">
        <v>0.33100000000000002</v>
      </c>
      <c r="S90" s="5">
        <v>0.28799999999999998</v>
      </c>
      <c r="T90" s="5">
        <v>0.56399999999999995</v>
      </c>
      <c r="U90" s="5">
        <v>0.13500000000000001</v>
      </c>
      <c r="V90" s="5">
        <v>0.36299999999999999</v>
      </c>
      <c r="W90" t="s">
        <v>1316</v>
      </c>
      <c r="X90" t="s">
        <v>1317</v>
      </c>
      <c r="Y90" t="s">
        <v>1315</v>
      </c>
      <c r="Z90" t="s">
        <v>543</v>
      </c>
    </row>
    <row r="91" spans="1:26" x14ac:dyDescent="0.3">
      <c r="A91" t="s">
        <v>622</v>
      </c>
      <c r="B91" t="s">
        <v>194</v>
      </c>
      <c r="C91" t="s">
        <v>49</v>
      </c>
      <c r="D91" t="s">
        <v>490</v>
      </c>
      <c r="E91" t="s">
        <v>142</v>
      </c>
      <c r="F91" s="3">
        <v>10.428369999999999</v>
      </c>
      <c r="G91" s="3">
        <v>5.7579999999999999E-2</v>
      </c>
      <c r="H91" s="5">
        <v>0.66500000000000004</v>
      </c>
      <c r="I91" s="5">
        <v>0.25600000000000001</v>
      </c>
      <c r="J91" s="5">
        <v>0.20499999999999999</v>
      </c>
      <c r="K91" s="5">
        <v>0.35799999999999998</v>
      </c>
      <c r="L91" s="5">
        <v>-0.36</v>
      </c>
      <c r="M91" s="5">
        <v>1.081</v>
      </c>
      <c r="N91" s="5">
        <v>0.68799999999999994</v>
      </c>
      <c r="O91" s="5">
        <v>0.79500000000000004</v>
      </c>
      <c r="P91" s="5">
        <v>0.61099999999999999</v>
      </c>
      <c r="Q91" s="5">
        <v>0.48399999999999999</v>
      </c>
      <c r="R91" s="5">
        <v>0.216</v>
      </c>
      <c r="S91" s="5">
        <v>0.216</v>
      </c>
      <c r="T91" s="5">
        <v>0.44</v>
      </c>
      <c r="U91" s="5">
        <v>0.184</v>
      </c>
      <c r="V91" s="5">
        <v>0.46500000000000002</v>
      </c>
      <c r="W91" t="s">
        <v>1318</v>
      </c>
      <c r="X91" t="s">
        <v>1319</v>
      </c>
      <c r="Y91" t="s">
        <v>1315</v>
      </c>
      <c r="Z91" t="s">
        <v>488</v>
      </c>
    </row>
    <row r="92" spans="1:26" x14ac:dyDescent="0.3">
      <c r="A92" t="s">
        <v>623</v>
      </c>
      <c r="B92" t="s">
        <v>197</v>
      </c>
      <c r="C92" t="s">
        <v>49</v>
      </c>
      <c r="D92" t="s">
        <v>484</v>
      </c>
      <c r="E92" t="s">
        <v>101</v>
      </c>
      <c r="F92" s="3">
        <v>10.81616</v>
      </c>
      <c r="G92" s="3">
        <v>-1.1565300000000001</v>
      </c>
      <c r="H92" s="5">
        <v>0.59299999999999997</v>
      </c>
      <c r="I92" s="5">
        <v>0.48499999999999999</v>
      </c>
      <c r="J92" s="5">
        <v>-0.625</v>
      </c>
      <c r="K92" s="5">
        <v>-0.36199999999999999</v>
      </c>
      <c r="L92" s="5">
        <v>-1.1180000000000001</v>
      </c>
      <c r="M92" s="5">
        <v>1.1890000000000001</v>
      </c>
      <c r="N92" s="5">
        <v>0.83199999999999996</v>
      </c>
      <c r="O92" s="5">
        <v>0.6</v>
      </c>
      <c r="P92" s="5">
        <v>0.36699999999999999</v>
      </c>
      <c r="Q92" s="5">
        <v>0.70399999999999996</v>
      </c>
      <c r="R92" s="5">
        <v>0.30199999999999999</v>
      </c>
      <c r="S92" s="5">
        <v>0.22500000000000001</v>
      </c>
      <c r="T92" s="5">
        <v>0.27700000000000002</v>
      </c>
      <c r="U92" s="5">
        <v>0.06</v>
      </c>
      <c r="V92" s="5">
        <v>0.33100000000000002</v>
      </c>
      <c r="W92" t="s">
        <v>1312</v>
      </c>
      <c r="X92" t="s">
        <v>1313</v>
      </c>
      <c r="Y92" t="s">
        <v>1315</v>
      </c>
      <c r="Z92" t="s">
        <v>488</v>
      </c>
    </row>
    <row r="93" spans="1:26" x14ac:dyDescent="0.3">
      <c r="A93" t="s">
        <v>624</v>
      </c>
      <c r="B93" t="s">
        <v>197</v>
      </c>
      <c r="C93" t="s">
        <v>49</v>
      </c>
      <c r="D93" t="s">
        <v>490</v>
      </c>
      <c r="E93" t="s">
        <v>101</v>
      </c>
      <c r="F93" s="3">
        <v>10.81616</v>
      </c>
      <c r="G93" s="3">
        <v>-1.1565300000000001</v>
      </c>
      <c r="H93" s="5">
        <v>0.59299999999999997</v>
      </c>
      <c r="I93" s="5">
        <v>0.48499999999999999</v>
      </c>
      <c r="J93" s="5">
        <v>-0.216</v>
      </c>
      <c r="K93" s="5">
        <v>1.4999999999999999E-2</v>
      </c>
      <c r="L93" s="5">
        <v>-0.34799999999999998</v>
      </c>
      <c r="M93" s="5">
        <v>1.006</v>
      </c>
      <c r="N93" s="5">
        <v>0.7</v>
      </c>
      <c r="O93" s="5">
        <v>0.76</v>
      </c>
      <c r="P93" s="5">
        <v>0.54300000000000004</v>
      </c>
      <c r="Q93" s="5">
        <v>0.76200000000000001</v>
      </c>
      <c r="R93" s="5">
        <v>0.24199999999999999</v>
      </c>
      <c r="S93" s="5">
        <v>0.23699999999999999</v>
      </c>
      <c r="T93" s="5">
        <v>0.33900000000000002</v>
      </c>
      <c r="U93" s="5">
        <v>0.151</v>
      </c>
      <c r="V93" s="5">
        <v>0.42299999999999999</v>
      </c>
      <c r="W93" t="s">
        <v>1312</v>
      </c>
      <c r="X93" t="s">
        <v>1313</v>
      </c>
      <c r="Y93" t="s">
        <v>1315</v>
      </c>
      <c r="Z93" t="s">
        <v>488</v>
      </c>
    </row>
    <row r="94" spans="1:26" x14ac:dyDescent="0.3">
      <c r="A94" t="s">
        <v>625</v>
      </c>
      <c r="B94" t="s">
        <v>199</v>
      </c>
      <c r="C94" t="s">
        <v>49</v>
      </c>
      <c r="D94" t="s">
        <v>484</v>
      </c>
      <c r="E94" t="s">
        <v>75</v>
      </c>
      <c r="F94" s="3">
        <v>10.058920000000001</v>
      </c>
      <c r="G94" s="3">
        <v>-1.23929</v>
      </c>
      <c r="H94" s="5">
        <v>0.64600000000000002</v>
      </c>
      <c r="I94" s="5">
        <v>0.39100000000000001</v>
      </c>
      <c r="J94" s="5">
        <v>-0.54100000000000004</v>
      </c>
      <c r="K94" s="5">
        <v>-0.54200000000000004</v>
      </c>
      <c r="L94" s="5">
        <v>-0.58499999999999996</v>
      </c>
      <c r="M94" s="5">
        <v>1.6</v>
      </c>
      <c r="N94" s="5">
        <v>0.84599999999999997</v>
      </c>
      <c r="O94" s="5">
        <v>0.47399999999999998</v>
      </c>
      <c r="P94" s="5">
        <v>0.373</v>
      </c>
      <c r="Q94" s="5">
        <v>0.36599999999999999</v>
      </c>
      <c r="R94" s="5">
        <v>0.625</v>
      </c>
      <c r="S94" s="5">
        <v>0.34899999999999998</v>
      </c>
      <c r="T94" s="5">
        <v>0.26900000000000002</v>
      </c>
      <c r="U94" s="5">
        <v>0.151</v>
      </c>
      <c r="V94" s="5">
        <v>0.32400000000000001</v>
      </c>
      <c r="W94" t="s">
        <v>1312</v>
      </c>
      <c r="X94" t="s">
        <v>1313</v>
      </c>
      <c r="Y94" t="s">
        <v>1314</v>
      </c>
      <c r="Z94" t="s">
        <v>488</v>
      </c>
    </row>
    <row r="95" spans="1:26" x14ac:dyDescent="0.3">
      <c r="A95" t="s">
        <v>626</v>
      </c>
      <c r="B95" t="s">
        <v>199</v>
      </c>
      <c r="C95" t="s">
        <v>49</v>
      </c>
      <c r="D95" t="s">
        <v>490</v>
      </c>
      <c r="E95" t="s">
        <v>75</v>
      </c>
      <c r="F95" s="3">
        <v>10.058920000000001</v>
      </c>
      <c r="G95" s="3">
        <v>-1.23929</v>
      </c>
      <c r="H95" s="5">
        <v>0.64600000000000002</v>
      </c>
      <c r="I95" s="5">
        <v>0.39100000000000001</v>
      </c>
      <c r="J95" s="5">
        <v>1.091</v>
      </c>
      <c r="K95" s="5">
        <v>1.1040000000000001</v>
      </c>
      <c r="L95" s="5">
        <v>9.2999999999999999E-2</v>
      </c>
      <c r="M95" s="5">
        <v>1.2290000000000001</v>
      </c>
      <c r="N95" s="5">
        <v>0.65500000000000003</v>
      </c>
      <c r="O95" s="5">
        <v>0.72599999999999998</v>
      </c>
      <c r="P95" s="5">
        <v>0.64100000000000001</v>
      </c>
      <c r="Q95" s="5">
        <v>0.47</v>
      </c>
      <c r="R95" s="5">
        <v>0.57199999999999995</v>
      </c>
      <c r="S95" s="5">
        <v>0.27200000000000002</v>
      </c>
      <c r="T95" s="5">
        <v>0.54200000000000004</v>
      </c>
      <c r="U95" s="5">
        <v>0.23200000000000001</v>
      </c>
      <c r="V95" s="5">
        <v>0.499</v>
      </c>
      <c r="W95" t="s">
        <v>1316</v>
      </c>
      <c r="X95" t="s">
        <v>1317</v>
      </c>
      <c r="Y95" t="s">
        <v>1314</v>
      </c>
      <c r="Z95" t="s">
        <v>488</v>
      </c>
    </row>
    <row r="96" spans="1:26" x14ac:dyDescent="0.3">
      <c r="A96" t="s">
        <v>627</v>
      </c>
      <c r="B96" t="s">
        <v>201</v>
      </c>
      <c r="C96" t="s">
        <v>49</v>
      </c>
      <c r="D96" t="s">
        <v>484</v>
      </c>
      <c r="E96" t="s">
        <v>101</v>
      </c>
      <c r="F96" s="3">
        <v>10.54092</v>
      </c>
      <c r="G96" s="3">
        <v>-1.14002</v>
      </c>
      <c r="H96" s="5">
        <v>0.497</v>
      </c>
      <c r="I96" s="5">
        <v>0.182</v>
      </c>
      <c r="J96" s="5">
        <v>-1.097</v>
      </c>
      <c r="K96" s="5">
        <v>-0.56699999999999995</v>
      </c>
      <c r="L96" s="5">
        <v>-0.76600000000000001</v>
      </c>
      <c r="M96" s="5">
        <v>1.1200000000000001</v>
      </c>
      <c r="N96" s="5">
        <v>0.70199999999999996</v>
      </c>
      <c r="O96" s="5">
        <v>0.84499999999999997</v>
      </c>
      <c r="P96" s="5">
        <v>0.34200000000000003</v>
      </c>
      <c r="Q96" s="5">
        <v>0.60899999999999999</v>
      </c>
      <c r="R96" s="5">
        <v>0.308</v>
      </c>
      <c r="S96" s="5">
        <v>0.248</v>
      </c>
      <c r="T96" s="5">
        <v>0.255</v>
      </c>
      <c r="U96" s="5">
        <v>0.13500000000000001</v>
      </c>
      <c r="V96" s="5">
        <v>0.33</v>
      </c>
      <c r="W96" t="s">
        <v>1312</v>
      </c>
      <c r="X96" t="s">
        <v>1313</v>
      </c>
      <c r="Y96" t="s">
        <v>1315</v>
      </c>
      <c r="Z96" t="s">
        <v>488</v>
      </c>
    </row>
    <row r="97" spans="1:26" x14ac:dyDescent="0.3">
      <c r="A97" t="s">
        <v>629</v>
      </c>
      <c r="B97" t="s">
        <v>201</v>
      </c>
      <c r="C97" t="s">
        <v>49</v>
      </c>
      <c r="D97" t="s">
        <v>490</v>
      </c>
      <c r="E97" t="s">
        <v>101</v>
      </c>
      <c r="F97" s="3">
        <v>10.54092</v>
      </c>
      <c r="G97" s="3">
        <v>-1.14002</v>
      </c>
      <c r="H97" s="5">
        <v>0.497</v>
      </c>
      <c r="I97" s="5">
        <v>0.182</v>
      </c>
      <c r="J97" s="5">
        <v>-0.10199999999999999</v>
      </c>
      <c r="K97" s="5">
        <v>0.39700000000000002</v>
      </c>
      <c r="L97" s="5">
        <v>-0.628</v>
      </c>
      <c r="M97" s="5">
        <v>1.123</v>
      </c>
      <c r="N97" s="5">
        <v>0.71399999999999997</v>
      </c>
      <c r="O97" s="5">
        <v>0.6</v>
      </c>
      <c r="P97" s="5">
        <v>0.47199999999999998</v>
      </c>
      <c r="Q97" s="5">
        <v>0.74199999999999999</v>
      </c>
      <c r="R97" s="5">
        <v>0.34100000000000003</v>
      </c>
      <c r="S97" s="5">
        <v>0.248</v>
      </c>
      <c r="T97" s="5">
        <v>0.41499999999999998</v>
      </c>
      <c r="U97" s="5">
        <v>0.151</v>
      </c>
      <c r="V97" s="5">
        <v>0.38600000000000001</v>
      </c>
      <c r="W97" t="s">
        <v>1312</v>
      </c>
      <c r="X97" t="s">
        <v>1313</v>
      </c>
      <c r="Y97" t="s">
        <v>1314</v>
      </c>
      <c r="Z97" t="s">
        <v>488</v>
      </c>
    </row>
    <row r="98" spans="1:26" x14ac:dyDescent="0.3">
      <c r="A98" t="s">
        <v>630</v>
      </c>
      <c r="B98" t="s">
        <v>204</v>
      </c>
      <c r="C98" t="s">
        <v>49</v>
      </c>
      <c r="D98" t="s">
        <v>484</v>
      </c>
      <c r="E98" t="s">
        <v>142</v>
      </c>
      <c r="F98" s="3">
        <v>9.8718000000000004</v>
      </c>
      <c r="G98" s="3">
        <v>-0.62866999999999995</v>
      </c>
      <c r="H98" s="5">
        <v>0.69699999999999995</v>
      </c>
      <c r="I98" s="5">
        <v>0.26600000000000001</v>
      </c>
      <c r="J98" s="5">
        <v>-0.97199999999999998</v>
      </c>
      <c r="K98" s="5">
        <v>-0.32200000000000001</v>
      </c>
      <c r="L98" s="5">
        <v>-0.75600000000000001</v>
      </c>
      <c r="M98" s="5">
        <v>1.1060000000000001</v>
      </c>
      <c r="N98" s="5">
        <v>0.70899999999999996</v>
      </c>
      <c r="O98" s="5">
        <v>0.48899999999999999</v>
      </c>
      <c r="P98" s="5">
        <v>0.374</v>
      </c>
      <c r="Q98" s="5">
        <v>0.40899999999999997</v>
      </c>
      <c r="R98" s="5">
        <v>0.30399999999999999</v>
      </c>
      <c r="S98" s="5">
        <v>0.33800000000000002</v>
      </c>
      <c r="T98" s="5">
        <v>0.29899999999999999</v>
      </c>
      <c r="U98" s="5">
        <v>0.127</v>
      </c>
      <c r="V98" s="5">
        <v>0.31</v>
      </c>
      <c r="W98" t="s">
        <v>1312</v>
      </c>
      <c r="X98" t="s">
        <v>1313</v>
      </c>
      <c r="Y98" t="s">
        <v>1315</v>
      </c>
      <c r="Z98" t="s">
        <v>488</v>
      </c>
    </row>
    <row r="99" spans="1:26" x14ac:dyDescent="0.3">
      <c r="A99" t="s">
        <v>631</v>
      </c>
      <c r="B99" t="s">
        <v>204</v>
      </c>
      <c r="C99" t="s">
        <v>49</v>
      </c>
      <c r="D99" t="s">
        <v>490</v>
      </c>
      <c r="E99" t="s">
        <v>142</v>
      </c>
      <c r="F99" s="3">
        <v>9.8718000000000004</v>
      </c>
      <c r="G99" s="3">
        <v>-0.62866999999999995</v>
      </c>
      <c r="H99" s="5">
        <v>0.69699999999999995</v>
      </c>
      <c r="I99" s="5">
        <v>0.26600000000000001</v>
      </c>
      <c r="J99" s="5">
        <v>-8.1000000000000003E-2</v>
      </c>
      <c r="K99" s="5">
        <v>-0.374</v>
      </c>
      <c r="L99" s="5">
        <v>-0.13100000000000001</v>
      </c>
      <c r="M99" s="5">
        <v>0.82399999999999995</v>
      </c>
      <c r="N99" s="5">
        <v>0.60399999999999998</v>
      </c>
      <c r="O99" s="5">
        <v>1.103</v>
      </c>
      <c r="P99" s="5">
        <v>0.67</v>
      </c>
      <c r="Q99" s="5">
        <v>0.318</v>
      </c>
      <c r="R99" s="5">
        <v>0.29499999999999998</v>
      </c>
      <c r="S99" s="5">
        <v>0.23100000000000001</v>
      </c>
      <c r="T99" s="5">
        <v>0.29099999999999998</v>
      </c>
      <c r="U99" s="5">
        <v>0.20100000000000001</v>
      </c>
      <c r="V99" s="5">
        <v>0.50600000000000001</v>
      </c>
      <c r="W99" t="s">
        <v>1318</v>
      </c>
      <c r="X99" t="s">
        <v>1319</v>
      </c>
      <c r="Y99" t="s">
        <v>1314</v>
      </c>
      <c r="Z99" t="s">
        <v>488</v>
      </c>
    </row>
    <row r="100" spans="1:26" x14ac:dyDescent="0.3">
      <c r="A100" t="s">
        <v>633</v>
      </c>
      <c r="B100" t="s">
        <v>206</v>
      </c>
      <c r="C100" t="s">
        <v>49</v>
      </c>
      <c r="D100" t="s">
        <v>484</v>
      </c>
      <c r="E100" t="s">
        <v>75</v>
      </c>
      <c r="F100" s="3">
        <v>10.11998</v>
      </c>
      <c r="G100" s="3">
        <v>-0.64227000000000001</v>
      </c>
      <c r="H100" s="5">
        <v>0.68300000000000005</v>
      </c>
      <c r="I100" s="5">
        <v>0.19</v>
      </c>
      <c r="J100" s="5">
        <v>-0.157</v>
      </c>
      <c r="K100" s="5">
        <v>1.5289999999999999</v>
      </c>
      <c r="L100" s="5">
        <v>-0.3</v>
      </c>
      <c r="M100" s="5">
        <v>1.4970000000000001</v>
      </c>
      <c r="N100" s="5">
        <v>0.751</v>
      </c>
      <c r="O100" s="5">
        <v>0.57499999999999996</v>
      </c>
      <c r="P100" s="5">
        <v>0.434</v>
      </c>
      <c r="Q100" s="5">
        <v>0.36199999999999999</v>
      </c>
      <c r="R100" s="5">
        <v>0.59099999999999997</v>
      </c>
      <c r="S100" s="5">
        <v>0.33100000000000002</v>
      </c>
      <c r="T100" s="5">
        <v>0.68300000000000005</v>
      </c>
      <c r="U100" s="5">
        <v>0.245</v>
      </c>
      <c r="V100" s="5">
        <v>0.36799999999999999</v>
      </c>
      <c r="W100" t="s">
        <v>1316</v>
      </c>
      <c r="X100" t="s">
        <v>1317</v>
      </c>
      <c r="Y100" t="s">
        <v>1315</v>
      </c>
      <c r="Z100" t="s">
        <v>543</v>
      </c>
    </row>
    <row r="101" spans="1:26" x14ac:dyDescent="0.3">
      <c r="A101" t="s">
        <v>634</v>
      </c>
      <c r="B101" t="s">
        <v>206</v>
      </c>
      <c r="C101" t="s">
        <v>49</v>
      </c>
      <c r="D101" t="s">
        <v>490</v>
      </c>
      <c r="E101" t="s">
        <v>75</v>
      </c>
      <c r="F101" s="3">
        <v>10.11998</v>
      </c>
      <c r="G101" s="3">
        <v>-0.64227000000000001</v>
      </c>
      <c r="H101" s="5">
        <v>0.68300000000000005</v>
      </c>
      <c r="I101" s="5">
        <v>0.19</v>
      </c>
      <c r="J101" s="5">
        <v>1.64</v>
      </c>
      <c r="K101" s="5">
        <v>1.3049999999999999</v>
      </c>
      <c r="L101" s="5">
        <v>-0.185</v>
      </c>
      <c r="M101" s="5">
        <v>1.1839999999999999</v>
      </c>
      <c r="N101" s="5">
        <v>0.70499999999999996</v>
      </c>
      <c r="O101" s="5">
        <v>0.69</v>
      </c>
      <c r="P101" s="5">
        <v>0.68400000000000005</v>
      </c>
      <c r="Q101" s="5">
        <v>0.45700000000000002</v>
      </c>
      <c r="R101" s="5">
        <v>0.54300000000000004</v>
      </c>
      <c r="S101" s="5">
        <v>0.33200000000000002</v>
      </c>
      <c r="T101" s="5">
        <v>0.64500000000000002</v>
      </c>
      <c r="U101" s="5">
        <v>0.25900000000000001</v>
      </c>
      <c r="V101" s="5">
        <v>0.53</v>
      </c>
      <c r="W101" t="s">
        <v>1316</v>
      </c>
      <c r="X101" t="s">
        <v>1317</v>
      </c>
      <c r="Y101" t="s">
        <v>1315</v>
      </c>
      <c r="Z101" t="s">
        <v>488</v>
      </c>
    </row>
    <row r="102" spans="1:26" x14ac:dyDescent="0.3">
      <c r="A102" t="s">
        <v>635</v>
      </c>
      <c r="B102" t="s">
        <v>209</v>
      </c>
      <c r="C102" t="s">
        <v>49</v>
      </c>
      <c r="D102" t="s">
        <v>484</v>
      </c>
      <c r="E102" t="s">
        <v>101</v>
      </c>
      <c r="F102" s="3">
        <v>9.6584900000000005</v>
      </c>
      <c r="G102" s="3">
        <v>-0.25989000000000001</v>
      </c>
      <c r="H102" s="5">
        <v>0.66900000000000004</v>
      </c>
      <c r="I102" s="5">
        <v>0.432</v>
      </c>
      <c r="J102" s="5">
        <v>-0.56899999999999995</v>
      </c>
      <c r="K102" s="5">
        <v>-0.48799999999999999</v>
      </c>
      <c r="L102" s="5">
        <v>-0.63200000000000001</v>
      </c>
      <c r="M102" s="5">
        <v>0.91600000000000004</v>
      </c>
      <c r="N102" s="5">
        <v>0.63200000000000001</v>
      </c>
      <c r="O102" s="5">
        <v>0.73699999999999999</v>
      </c>
      <c r="P102" s="5">
        <v>0.434</v>
      </c>
      <c r="Q102" s="5">
        <v>0.623</v>
      </c>
      <c r="R102" s="5">
        <v>0.29199999999999998</v>
      </c>
      <c r="S102" s="5">
        <v>0.189</v>
      </c>
      <c r="T102" s="5">
        <v>0.23899999999999999</v>
      </c>
      <c r="U102" s="5">
        <v>0.125</v>
      </c>
      <c r="V102" s="5">
        <v>0.37</v>
      </c>
      <c r="W102" t="s">
        <v>1312</v>
      </c>
      <c r="X102" t="s">
        <v>1313</v>
      </c>
      <c r="Y102" t="s">
        <v>1315</v>
      </c>
      <c r="Z102" t="s">
        <v>488</v>
      </c>
    </row>
    <row r="103" spans="1:26" x14ac:dyDescent="0.3">
      <c r="A103" t="s">
        <v>636</v>
      </c>
      <c r="B103" t="s">
        <v>209</v>
      </c>
      <c r="C103" t="s">
        <v>49</v>
      </c>
      <c r="D103" t="s">
        <v>490</v>
      </c>
      <c r="E103" t="s">
        <v>101</v>
      </c>
      <c r="F103" s="3">
        <v>9.6584900000000005</v>
      </c>
      <c r="G103" s="3">
        <v>-0.25989000000000001</v>
      </c>
      <c r="H103" s="5">
        <v>0.66900000000000004</v>
      </c>
      <c r="I103" s="5">
        <v>0.432</v>
      </c>
      <c r="J103" s="5">
        <v>0.46700000000000003</v>
      </c>
      <c r="K103" s="5">
        <v>-0.379</v>
      </c>
      <c r="L103" s="5">
        <v>-0.83799999999999997</v>
      </c>
      <c r="M103" s="5">
        <v>1.1299999999999999</v>
      </c>
      <c r="N103" s="5">
        <v>0.73099999999999998</v>
      </c>
      <c r="O103" s="5">
        <v>0.93700000000000006</v>
      </c>
      <c r="P103" s="5">
        <v>0.65600000000000003</v>
      </c>
      <c r="Q103" s="5">
        <v>0.70799999999999996</v>
      </c>
      <c r="R103" s="5">
        <v>0.27100000000000002</v>
      </c>
      <c r="S103" s="5">
        <v>0.34799999999999998</v>
      </c>
      <c r="T103" s="5">
        <v>0.25700000000000001</v>
      </c>
      <c r="U103" s="5">
        <v>0.1</v>
      </c>
      <c r="V103" s="5">
        <v>0.504</v>
      </c>
      <c r="W103" t="s">
        <v>1318</v>
      </c>
      <c r="X103" t="s">
        <v>1319</v>
      </c>
      <c r="Y103" t="s">
        <v>1315</v>
      </c>
      <c r="Z103" t="s">
        <v>488</v>
      </c>
    </row>
    <row r="104" spans="1:26" x14ac:dyDescent="0.3">
      <c r="A104" t="s">
        <v>638</v>
      </c>
      <c r="B104" t="s">
        <v>211</v>
      </c>
      <c r="C104" t="s">
        <v>49</v>
      </c>
      <c r="D104" t="s">
        <v>484</v>
      </c>
      <c r="E104" t="s">
        <v>101</v>
      </c>
      <c r="F104" s="3">
        <v>9.9542000000000002</v>
      </c>
      <c r="G104" s="3">
        <v>-0.94208000000000003</v>
      </c>
      <c r="H104" s="5">
        <v>0.70599999999999996</v>
      </c>
      <c r="I104" s="5">
        <v>0.47099999999999997</v>
      </c>
      <c r="J104" s="5">
        <v>-1.206</v>
      </c>
      <c r="K104" s="5">
        <v>-1.046</v>
      </c>
      <c r="L104" s="5">
        <v>-0.41099999999999998</v>
      </c>
      <c r="M104" s="5">
        <v>1.071</v>
      </c>
      <c r="N104" s="5">
        <v>0.83899999999999997</v>
      </c>
      <c r="O104" s="5">
        <v>0.56399999999999995</v>
      </c>
      <c r="P104" s="5">
        <v>0.379</v>
      </c>
      <c r="Q104" s="5">
        <v>0.61499999999999999</v>
      </c>
      <c r="R104" s="5">
        <v>0.28999999999999998</v>
      </c>
      <c r="S104" s="5">
        <v>0.218</v>
      </c>
      <c r="T104" s="5">
        <v>0.151</v>
      </c>
      <c r="U104" s="5">
        <v>0.16600000000000001</v>
      </c>
      <c r="V104" s="5">
        <v>0.312</v>
      </c>
      <c r="W104" t="s">
        <v>1312</v>
      </c>
      <c r="X104" t="s">
        <v>1313</v>
      </c>
      <c r="Y104" t="s">
        <v>1315</v>
      </c>
      <c r="Z104" t="s">
        <v>488</v>
      </c>
    </row>
    <row r="105" spans="1:26" x14ac:dyDescent="0.3">
      <c r="A105" t="s">
        <v>639</v>
      </c>
      <c r="B105" t="s">
        <v>211</v>
      </c>
      <c r="C105" t="s">
        <v>49</v>
      </c>
      <c r="D105" t="s">
        <v>490</v>
      </c>
      <c r="E105" t="s">
        <v>101</v>
      </c>
      <c r="F105" s="3">
        <v>9.9542000000000002</v>
      </c>
      <c r="G105" s="3">
        <v>-0.94208000000000003</v>
      </c>
      <c r="H105" s="5">
        <v>0.70599999999999996</v>
      </c>
      <c r="I105" s="5">
        <v>0.47099999999999997</v>
      </c>
      <c r="J105" s="5">
        <v>1.27</v>
      </c>
      <c r="K105" s="5">
        <v>0.13300000000000001</v>
      </c>
      <c r="L105" s="5">
        <v>-0.45600000000000002</v>
      </c>
      <c r="M105" s="5">
        <v>1.1279999999999999</v>
      </c>
      <c r="N105" s="5">
        <v>0.63900000000000001</v>
      </c>
      <c r="O105" s="5">
        <v>0.74099999999999999</v>
      </c>
      <c r="P105" s="5">
        <v>0.68300000000000005</v>
      </c>
      <c r="Q105" s="5">
        <v>0.70499999999999996</v>
      </c>
      <c r="R105" s="5">
        <v>0.28599999999999998</v>
      </c>
      <c r="S105" s="5">
        <v>0.20499999999999999</v>
      </c>
      <c r="T105" s="5">
        <v>0.34699999999999998</v>
      </c>
      <c r="U105" s="5">
        <v>0.161</v>
      </c>
      <c r="V105" s="5">
        <v>0.52100000000000002</v>
      </c>
      <c r="W105" t="s">
        <v>1318</v>
      </c>
      <c r="X105" t="s">
        <v>1319</v>
      </c>
      <c r="Y105" t="s">
        <v>1315</v>
      </c>
      <c r="Z105" t="s">
        <v>488</v>
      </c>
    </row>
    <row r="106" spans="1:26" x14ac:dyDescent="0.3">
      <c r="A106" t="s">
        <v>640</v>
      </c>
      <c r="B106" t="s">
        <v>213</v>
      </c>
      <c r="C106" t="s">
        <v>49</v>
      </c>
      <c r="D106" t="s">
        <v>484</v>
      </c>
      <c r="E106" t="s">
        <v>75</v>
      </c>
      <c r="F106" s="3">
        <v>9.72818</v>
      </c>
      <c r="G106" s="3">
        <v>-1.0530999999999999</v>
      </c>
      <c r="H106" s="5">
        <v>0.54800000000000004</v>
      </c>
      <c r="I106" s="5">
        <v>0.41699999999999998</v>
      </c>
      <c r="J106" s="5">
        <v>-0.97299999999999998</v>
      </c>
      <c r="K106" s="5">
        <v>-0.41399999999999998</v>
      </c>
      <c r="L106" s="5">
        <v>-0.69499999999999995</v>
      </c>
      <c r="M106" s="5">
        <v>1.5129999999999999</v>
      </c>
      <c r="N106" s="5">
        <v>0.97399999999999998</v>
      </c>
      <c r="O106" s="5">
        <v>0.41</v>
      </c>
      <c r="P106" s="5">
        <v>0.28599999999999998</v>
      </c>
      <c r="Q106" s="5">
        <v>0.44800000000000001</v>
      </c>
      <c r="R106" s="5">
        <v>0.63300000000000001</v>
      </c>
      <c r="S106" s="5">
        <v>0.32900000000000001</v>
      </c>
      <c r="T106" s="5">
        <v>0.251</v>
      </c>
      <c r="U106" s="5">
        <v>8.8999999999999996E-2</v>
      </c>
      <c r="V106" s="5">
        <v>0.27200000000000002</v>
      </c>
      <c r="W106" t="s">
        <v>1312</v>
      </c>
      <c r="X106" t="s">
        <v>1313</v>
      </c>
      <c r="Y106" t="s">
        <v>1315</v>
      </c>
      <c r="Z106" t="s">
        <v>488</v>
      </c>
    </row>
    <row r="107" spans="1:26" x14ac:dyDescent="0.3">
      <c r="A107" t="s">
        <v>641</v>
      </c>
      <c r="B107" t="s">
        <v>213</v>
      </c>
      <c r="C107" t="s">
        <v>49</v>
      </c>
      <c r="D107" t="s">
        <v>490</v>
      </c>
      <c r="E107" t="s">
        <v>75</v>
      </c>
      <c r="F107" s="3">
        <v>9.72818</v>
      </c>
      <c r="G107" s="3">
        <v>-1.0530999999999999</v>
      </c>
      <c r="H107" s="5">
        <v>0.54800000000000004</v>
      </c>
      <c r="I107" s="5">
        <v>0.41699999999999998</v>
      </c>
      <c r="J107" s="5">
        <v>0.249</v>
      </c>
      <c r="K107" s="5">
        <v>-0.32600000000000001</v>
      </c>
      <c r="L107" s="5">
        <v>-0.85499999999999998</v>
      </c>
      <c r="M107" s="5">
        <v>1.276</v>
      </c>
      <c r="N107" s="5">
        <v>0.83699999999999997</v>
      </c>
      <c r="O107" s="5">
        <v>0.55200000000000005</v>
      </c>
      <c r="P107" s="5">
        <v>0.50800000000000001</v>
      </c>
      <c r="Q107" s="5">
        <v>0.502</v>
      </c>
      <c r="R107" s="5">
        <v>0.60199999999999998</v>
      </c>
      <c r="S107" s="5">
        <v>0.34399999999999997</v>
      </c>
      <c r="T107" s="5">
        <v>0.26600000000000001</v>
      </c>
      <c r="U107" s="5">
        <v>7.0000000000000007E-2</v>
      </c>
      <c r="V107" s="5">
        <v>0.40600000000000003</v>
      </c>
      <c r="W107" t="s">
        <v>1312</v>
      </c>
      <c r="X107" t="s">
        <v>1313</v>
      </c>
      <c r="Y107" t="s">
        <v>1315</v>
      </c>
      <c r="Z107" t="s">
        <v>488</v>
      </c>
    </row>
    <row r="108" spans="1:26" x14ac:dyDescent="0.3">
      <c r="A108" t="s">
        <v>642</v>
      </c>
      <c r="B108" t="s">
        <v>216</v>
      </c>
      <c r="C108" t="s">
        <v>49</v>
      </c>
      <c r="D108" t="s">
        <v>484</v>
      </c>
      <c r="E108" t="s">
        <v>75</v>
      </c>
      <c r="F108" s="3">
        <v>10.22784</v>
      </c>
      <c r="G108" s="3">
        <v>-0.62873000000000001</v>
      </c>
      <c r="H108" s="5">
        <v>0.56200000000000006</v>
      </c>
      <c r="I108" s="5">
        <v>0.38800000000000001</v>
      </c>
      <c r="J108" s="5">
        <v>-0.74299999999999999</v>
      </c>
      <c r="K108" s="5">
        <v>-0.72399999999999998</v>
      </c>
      <c r="L108" s="5">
        <v>-0.63900000000000001</v>
      </c>
      <c r="M108" s="5">
        <v>1.361</v>
      </c>
      <c r="N108" s="5">
        <v>0.79400000000000004</v>
      </c>
      <c r="O108" s="5">
        <v>0.66500000000000004</v>
      </c>
      <c r="P108" s="5">
        <v>0.35799999999999998</v>
      </c>
      <c r="Q108" s="5">
        <v>0.42899999999999999</v>
      </c>
      <c r="R108" s="5">
        <v>0.63</v>
      </c>
      <c r="S108" s="5">
        <v>0.373</v>
      </c>
      <c r="T108" s="5">
        <v>0.23</v>
      </c>
      <c r="U108" s="5">
        <v>0.13700000000000001</v>
      </c>
      <c r="V108" s="5">
        <v>0.33</v>
      </c>
      <c r="W108" t="s">
        <v>1312</v>
      </c>
      <c r="X108" t="s">
        <v>1313</v>
      </c>
      <c r="Y108" t="s">
        <v>1315</v>
      </c>
      <c r="Z108" t="s">
        <v>488</v>
      </c>
    </row>
    <row r="109" spans="1:26" x14ac:dyDescent="0.3">
      <c r="A109" t="s">
        <v>643</v>
      </c>
      <c r="B109" t="s">
        <v>216</v>
      </c>
      <c r="C109" t="s">
        <v>49</v>
      </c>
      <c r="D109" t="s">
        <v>490</v>
      </c>
      <c r="E109" t="s">
        <v>75</v>
      </c>
      <c r="F109" s="3">
        <v>10.22784</v>
      </c>
      <c r="G109" s="3">
        <v>-0.62873000000000001</v>
      </c>
      <c r="H109" s="5">
        <v>0.56200000000000006</v>
      </c>
      <c r="I109" s="5">
        <v>0.38800000000000001</v>
      </c>
      <c r="J109" s="5">
        <v>0.86299999999999999</v>
      </c>
      <c r="K109" s="5">
        <v>-0.61599999999999999</v>
      </c>
      <c r="L109" s="5">
        <v>-0.94499999999999995</v>
      </c>
      <c r="M109" s="5">
        <v>1.2909999999999999</v>
      </c>
      <c r="N109" s="5">
        <v>0.752</v>
      </c>
      <c r="O109" s="5">
        <v>0.53600000000000003</v>
      </c>
      <c r="P109" s="5">
        <v>0.54900000000000004</v>
      </c>
      <c r="Q109" s="5">
        <v>0.54</v>
      </c>
      <c r="R109" s="5">
        <v>0.54800000000000004</v>
      </c>
      <c r="S109" s="5">
        <v>0.20499999999999999</v>
      </c>
      <c r="T109" s="5">
        <v>0.248</v>
      </c>
      <c r="U109" s="5">
        <v>0.10100000000000001</v>
      </c>
      <c r="V109" s="5">
        <v>0.44</v>
      </c>
      <c r="W109" t="s">
        <v>1318</v>
      </c>
      <c r="X109" t="s">
        <v>1319</v>
      </c>
      <c r="Y109" t="s">
        <v>1315</v>
      </c>
      <c r="Z109" t="s">
        <v>488</v>
      </c>
    </row>
    <row r="110" spans="1:26" x14ac:dyDescent="0.3">
      <c r="A110" t="s">
        <v>644</v>
      </c>
      <c r="B110" t="s">
        <v>218</v>
      </c>
      <c r="C110" t="s">
        <v>49</v>
      </c>
      <c r="D110" t="s">
        <v>484</v>
      </c>
      <c r="E110" t="s">
        <v>75</v>
      </c>
      <c r="F110" s="3">
        <v>10.17245</v>
      </c>
      <c r="G110" s="3">
        <v>-0.69142999999999999</v>
      </c>
      <c r="H110" s="5">
        <v>0.68700000000000006</v>
      </c>
      <c r="I110" s="5">
        <v>0.31900000000000001</v>
      </c>
      <c r="J110" s="5">
        <v>-0.55300000000000005</v>
      </c>
      <c r="K110" s="5">
        <v>-0.61499999999999999</v>
      </c>
      <c r="L110" s="5">
        <v>-0.51300000000000001</v>
      </c>
      <c r="M110" s="5">
        <v>1.73</v>
      </c>
      <c r="N110" s="5">
        <v>0.94299999999999995</v>
      </c>
      <c r="O110" s="5">
        <v>0.58499999999999996</v>
      </c>
      <c r="P110" s="5">
        <v>0.41299999999999998</v>
      </c>
      <c r="Q110" s="5">
        <v>0.41599999999999998</v>
      </c>
      <c r="R110" s="5">
        <v>0.60399999999999998</v>
      </c>
      <c r="S110" s="5">
        <v>0.32600000000000001</v>
      </c>
      <c r="T110" s="5">
        <v>0.215</v>
      </c>
      <c r="U110" s="5">
        <v>0.13700000000000001</v>
      </c>
      <c r="V110" s="5">
        <v>0.34799999999999998</v>
      </c>
      <c r="W110" t="s">
        <v>1312</v>
      </c>
      <c r="X110" t="s">
        <v>1313</v>
      </c>
      <c r="Y110" t="s">
        <v>1315</v>
      </c>
      <c r="Z110" t="s">
        <v>488</v>
      </c>
    </row>
    <row r="111" spans="1:26" x14ac:dyDescent="0.3">
      <c r="A111" t="s">
        <v>645</v>
      </c>
      <c r="B111" t="s">
        <v>218</v>
      </c>
      <c r="C111" t="s">
        <v>49</v>
      </c>
      <c r="D111" t="s">
        <v>490</v>
      </c>
      <c r="E111" t="s">
        <v>75</v>
      </c>
      <c r="F111" s="3">
        <v>10.17245</v>
      </c>
      <c r="G111" s="3">
        <v>-0.69142999999999999</v>
      </c>
      <c r="H111" s="5">
        <v>0.68700000000000006</v>
      </c>
      <c r="I111" s="5">
        <v>0.31900000000000001</v>
      </c>
      <c r="J111" s="5">
        <v>0.69799999999999995</v>
      </c>
      <c r="K111" s="5">
        <v>1.7000000000000001E-2</v>
      </c>
      <c r="L111" s="5">
        <v>-0.91100000000000003</v>
      </c>
      <c r="M111" s="5">
        <v>1.3720000000000001</v>
      </c>
      <c r="N111" s="5">
        <v>0.71599999999999997</v>
      </c>
      <c r="O111" s="5">
        <v>0.71799999999999997</v>
      </c>
      <c r="P111" s="5">
        <v>0.63500000000000001</v>
      </c>
      <c r="Q111" s="5">
        <v>0.45</v>
      </c>
      <c r="R111" s="5">
        <v>0.58299999999999996</v>
      </c>
      <c r="S111" s="5">
        <v>0.30499999999999999</v>
      </c>
      <c r="T111" s="5">
        <v>0.32</v>
      </c>
      <c r="U111" s="5">
        <v>0.09</v>
      </c>
      <c r="V111" s="5">
        <v>0.48299999999999998</v>
      </c>
      <c r="W111" t="s">
        <v>1318</v>
      </c>
      <c r="X111" t="s">
        <v>1319</v>
      </c>
      <c r="Y111" t="s">
        <v>1315</v>
      </c>
      <c r="Z111" t="s">
        <v>488</v>
      </c>
    </row>
    <row r="112" spans="1:26" x14ac:dyDescent="0.3">
      <c r="A112" t="s">
        <v>646</v>
      </c>
      <c r="B112" t="s">
        <v>220</v>
      </c>
      <c r="C112" t="s">
        <v>49</v>
      </c>
      <c r="D112" t="s">
        <v>484</v>
      </c>
      <c r="E112" t="s">
        <v>75</v>
      </c>
      <c r="F112" s="3">
        <v>10.201790000000001</v>
      </c>
      <c r="G112" s="3">
        <v>-0.38712000000000002</v>
      </c>
      <c r="H112" s="5">
        <v>0.60699999999999998</v>
      </c>
      <c r="I112" s="5">
        <v>0.05</v>
      </c>
      <c r="J112" s="5">
        <v>-1.0009999999999999</v>
      </c>
      <c r="K112" s="5">
        <v>-0.58699999999999997</v>
      </c>
      <c r="L112" s="5">
        <v>-0.75700000000000001</v>
      </c>
      <c r="M112" s="5">
        <v>1.31</v>
      </c>
      <c r="N112" s="5">
        <v>0.77900000000000003</v>
      </c>
      <c r="O112" s="5">
        <v>0.56699999999999995</v>
      </c>
      <c r="P112" s="5">
        <v>0.34499999999999997</v>
      </c>
      <c r="Q112" s="5">
        <v>0.32700000000000001</v>
      </c>
      <c r="R112" s="5">
        <v>0.61299999999999999</v>
      </c>
      <c r="S112" s="5">
        <v>0.35899999999999999</v>
      </c>
      <c r="T112" s="5">
        <v>0.22800000000000001</v>
      </c>
      <c r="U112" s="5">
        <v>0.129</v>
      </c>
      <c r="V112" s="5">
        <v>0.307</v>
      </c>
      <c r="W112" t="s">
        <v>1312</v>
      </c>
      <c r="X112" t="s">
        <v>1313</v>
      </c>
      <c r="Y112" t="s">
        <v>1314</v>
      </c>
      <c r="Z112" t="s">
        <v>488</v>
      </c>
    </row>
    <row r="113" spans="1:26" x14ac:dyDescent="0.3">
      <c r="A113" t="s">
        <v>647</v>
      </c>
      <c r="B113" t="s">
        <v>220</v>
      </c>
      <c r="C113" t="s">
        <v>49</v>
      </c>
      <c r="D113" t="s">
        <v>490</v>
      </c>
      <c r="E113" t="s">
        <v>75</v>
      </c>
      <c r="F113" s="3">
        <v>10.201790000000001</v>
      </c>
      <c r="G113" s="3">
        <v>-0.38712000000000002</v>
      </c>
      <c r="H113" s="5">
        <v>0.60699999999999998</v>
      </c>
      <c r="I113" s="5">
        <v>0.05</v>
      </c>
      <c r="J113" s="5">
        <v>-0.35799999999999998</v>
      </c>
      <c r="K113" s="5">
        <v>-0.59399999999999997</v>
      </c>
      <c r="L113" s="5">
        <v>-0.45100000000000001</v>
      </c>
      <c r="M113" s="5">
        <v>0.86699999999999999</v>
      </c>
      <c r="N113" s="5">
        <v>0.73299999999999998</v>
      </c>
      <c r="O113" s="5">
        <v>0.65</v>
      </c>
      <c r="P113" s="5">
        <v>0.52</v>
      </c>
      <c r="Q113" s="5">
        <v>0.47699999999999998</v>
      </c>
      <c r="R113" s="5">
        <v>0.59499999999999997</v>
      </c>
      <c r="S113" s="5">
        <v>0.18</v>
      </c>
      <c r="T113" s="5">
        <v>0.22700000000000001</v>
      </c>
      <c r="U113" s="5">
        <v>0.16600000000000001</v>
      </c>
      <c r="V113" s="5">
        <v>0.39900000000000002</v>
      </c>
      <c r="W113" t="s">
        <v>1312</v>
      </c>
      <c r="X113" t="s">
        <v>1313</v>
      </c>
      <c r="Y113" t="s">
        <v>1315</v>
      </c>
      <c r="Z113" t="s">
        <v>488</v>
      </c>
    </row>
    <row r="114" spans="1:26" x14ac:dyDescent="0.3">
      <c r="A114" t="s">
        <v>648</v>
      </c>
      <c r="B114" t="s">
        <v>222</v>
      </c>
      <c r="C114" t="s">
        <v>49</v>
      </c>
      <c r="D114" t="s">
        <v>484</v>
      </c>
      <c r="E114" t="s">
        <v>75</v>
      </c>
      <c r="F114" s="3">
        <v>10.967359999999999</v>
      </c>
      <c r="G114" s="3">
        <v>-0.96421999999999997</v>
      </c>
      <c r="H114" s="5">
        <v>0.69799999999999995</v>
      </c>
      <c r="I114" s="5">
        <v>0.56000000000000005</v>
      </c>
      <c r="J114" s="5">
        <v>-0.70599999999999996</v>
      </c>
      <c r="K114" s="5">
        <v>-0.82799999999999996</v>
      </c>
      <c r="L114" s="5">
        <v>-0.76</v>
      </c>
      <c r="M114" s="5">
        <v>0.999</v>
      </c>
      <c r="N114" s="5">
        <v>0.72599999999999998</v>
      </c>
      <c r="O114" s="5">
        <v>0.54700000000000004</v>
      </c>
      <c r="P114" s="5">
        <v>0.40200000000000002</v>
      </c>
      <c r="Q114" s="5">
        <v>0.40799999999999997</v>
      </c>
      <c r="R114" s="5">
        <v>0.57999999999999996</v>
      </c>
      <c r="S114" s="5">
        <v>0.20899999999999999</v>
      </c>
      <c r="T114" s="5">
        <v>0.187</v>
      </c>
      <c r="U114" s="5">
        <v>0.107</v>
      </c>
      <c r="V114" s="5">
        <v>0.33500000000000002</v>
      </c>
      <c r="W114" t="s">
        <v>1312</v>
      </c>
      <c r="X114" t="s">
        <v>1313</v>
      </c>
      <c r="Y114" t="s">
        <v>1314</v>
      </c>
      <c r="Z114" t="s">
        <v>488</v>
      </c>
    </row>
    <row r="115" spans="1:26" x14ac:dyDescent="0.3">
      <c r="A115" t="s">
        <v>650</v>
      </c>
      <c r="B115" t="s">
        <v>222</v>
      </c>
      <c r="C115" t="s">
        <v>49</v>
      </c>
      <c r="D115" t="s">
        <v>490</v>
      </c>
      <c r="E115" t="s">
        <v>75</v>
      </c>
      <c r="F115" s="3">
        <v>10.967359999999999</v>
      </c>
      <c r="G115" s="3">
        <v>-0.96421999999999997</v>
      </c>
      <c r="H115" s="5">
        <v>0.69799999999999995</v>
      </c>
      <c r="I115" s="5">
        <v>0.56000000000000005</v>
      </c>
      <c r="J115" s="5">
        <v>0.23899999999999999</v>
      </c>
      <c r="K115" s="5">
        <v>-0.76600000000000001</v>
      </c>
      <c r="L115" s="5">
        <v>-0.49399999999999999</v>
      </c>
      <c r="M115" s="5">
        <v>1.524</v>
      </c>
      <c r="N115" s="5">
        <v>0.93700000000000006</v>
      </c>
      <c r="O115" s="5">
        <v>0.59799999999999998</v>
      </c>
      <c r="P115" s="5">
        <v>0.58899999999999997</v>
      </c>
      <c r="Q115" s="5">
        <v>0.44600000000000001</v>
      </c>
      <c r="R115" s="5">
        <v>0.58199999999999996</v>
      </c>
      <c r="S115" s="5">
        <v>0.29099999999999998</v>
      </c>
      <c r="T115" s="5">
        <v>0.19800000000000001</v>
      </c>
      <c r="U115" s="5">
        <v>0.13800000000000001</v>
      </c>
      <c r="V115" s="5">
        <v>0.439</v>
      </c>
      <c r="W115" t="s">
        <v>1318</v>
      </c>
      <c r="X115" t="s">
        <v>1319</v>
      </c>
      <c r="Y115" t="s">
        <v>1315</v>
      </c>
      <c r="Z115" t="s">
        <v>488</v>
      </c>
    </row>
    <row r="116" spans="1:26" x14ac:dyDescent="0.3">
      <c r="A116" t="s">
        <v>651</v>
      </c>
      <c r="B116" t="s">
        <v>224</v>
      </c>
      <c r="C116" t="s">
        <v>49</v>
      </c>
      <c r="D116" t="s">
        <v>484</v>
      </c>
      <c r="E116" t="s">
        <v>101</v>
      </c>
      <c r="F116" s="3">
        <v>10.772040000000001</v>
      </c>
      <c r="G116" s="3">
        <v>-0.19303999999999999</v>
      </c>
      <c r="H116" s="5">
        <v>0.65300000000000002</v>
      </c>
      <c r="I116" s="5">
        <v>0.39100000000000001</v>
      </c>
      <c r="J116" s="5">
        <v>-1.1220000000000001</v>
      </c>
      <c r="K116" s="5">
        <v>1.2E-2</v>
      </c>
      <c r="L116" s="5">
        <v>-0.41599999999999998</v>
      </c>
      <c r="M116" s="5">
        <v>1.212</v>
      </c>
      <c r="N116" s="5">
        <v>0.65400000000000003</v>
      </c>
      <c r="O116" s="5">
        <v>0.68400000000000005</v>
      </c>
      <c r="P116" s="5">
        <v>0.38300000000000001</v>
      </c>
      <c r="Q116" s="5">
        <v>0.59599999999999997</v>
      </c>
      <c r="R116" s="5">
        <v>0.224</v>
      </c>
      <c r="S116" s="5">
        <v>0.14399999999999999</v>
      </c>
      <c r="T116" s="5">
        <v>0.39400000000000002</v>
      </c>
      <c r="U116" s="5">
        <v>0.186</v>
      </c>
      <c r="V116" s="5">
        <v>0.32800000000000001</v>
      </c>
      <c r="W116" t="s">
        <v>1312</v>
      </c>
      <c r="X116" t="s">
        <v>1313</v>
      </c>
      <c r="Y116" t="s">
        <v>1315</v>
      </c>
      <c r="Z116" t="s">
        <v>488</v>
      </c>
    </row>
    <row r="117" spans="1:26" x14ac:dyDescent="0.3">
      <c r="A117" t="s">
        <v>652</v>
      </c>
      <c r="B117" t="s">
        <v>224</v>
      </c>
      <c r="C117" t="s">
        <v>49</v>
      </c>
      <c r="D117" t="s">
        <v>490</v>
      </c>
      <c r="E117" t="s">
        <v>101</v>
      </c>
      <c r="F117" s="3">
        <v>10.772040000000001</v>
      </c>
      <c r="G117" s="3">
        <v>-0.19303999999999999</v>
      </c>
      <c r="H117" s="5">
        <v>0.65300000000000002</v>
      </c>
      <c r="I117" s="5">
        <v>0.39100000000000001</v>
      </c>
      <c r="J117" s="5">
        <v>1.6739999999999999</v>
      </c>
      <c r="K117" s="5">
        <v>0.32</v>
      </c>
      <c r="L117" s="5">
        <v>-0.17100000000000001</v>
      </c>
      <c r="M117" s="5">
        <v>1.3</v>
      </c>
      <c r="N117" s="5">
        <v>0.74399999999999999</v>
      </c>
      <c r="O117" s="5">
        <v>0.73299999999999998</v>
      </c>
      <c r="P117" s="5">
        <v>0.68100000000000005</v>
      </c>
      <c r="Q117" s="5">
        <v>0.76900000000000002</v>
      </c>
      <c r="R117" s="5">
        <v>0.314</v>
      </c>
      <c r="S117" s="5">
        <v>0.24299999999999999</v>
      </c>
      <c r="T117" s="5">
        <v>0.44600000000000001</v>
      </c>
      <c r="U117" s="5">
        <v>0.215</v>
      </c>
      <c r="V117" s="5">
        <v>0.53400000000000003</v>
      </c>
      <c r="W117" t="s">
        <v>1312</v>
      </c>
      <c r="X117" t="s">
        <v>1313</v>
      </c>
      <c r="Y117" t="s">
        <v>1315</v>
      </c>
      <c r="Z117" t="s">
        <v>488</v>
      </c>
    </row>
    <row r="118" spans="1:26" x14ac:dyDescent="0.3">
      <c r="A118" t="s">
        <v>653</v>
      </c>
      <c r="B118" t="s">
        <v>226</v>
      </c>
      <c r="C118" t="s">
        <v>49</v>
      </c>
      <c r="D118" t="s">
        <v>484</v>
      </c>
      <c r="E118" t="s">
        <v>75</v>
      </c>
      <c r="F118" s="3">
        <v>10.49253</v>
      </c>
      <c r="G118" s="3">
        <v>-0.92130000000000001</v>
      </c>
      <c r="H118" s="5">
        <v>0.58199999999999996</v>
      </c>
      <c r="I118" s="5">
        <v>0.496</v>
      </c>
      <c r="J118" s="5">
        <v>-0.06</v>
      </c>
      <c r="K118" s="5">
        <v>3.742</v>
      </c>
      <c r="L118" s="5">
        <v>-0.79800000000000004</v>
      </c>
      <c r="M118" s="5">
        <v>1.577</v>
      </c>
      <c r="N118" s="5">
        <v>0.76400000000000001</v>
      </c>
      <c r="O118" s="5">
        <v>0.432</v>
      </c>
      <c r="P118" s="5">
        <v>0.36199999999999999</v>
      </c>
      <c r="Q118" s="5">
        <v>0.40100000000000002</v>
      </c>
      <c r="R118" s="5">
        <v>0.6</v>
      </c>
      <c r="S118" s="5">
        <v>0.29899999999999999</v>
      </c>
      <c r="T118" s="5">
        <v>1</v>
      </c>
      <c r="U118" s="5">
        <v>0.16300000000000001</v>
      </c>
      <c r="V118" s="5">
        <v>0.33200000000000002</v>
      </c>
      <c r="W118" t="s">
        <v>1316</v>
      </c>
      <c r="X118" t="s">
        <v>1317</v>
      </c>
      <c r="Y118" t="s">
        <v>1315</v>
      </c>
      <c r="Z118" t="s">
        <v>517</v>
      </c>
    </row>
    <row r="119" spans="1:26" x14ac:dyDescent="0.3">
      <c r="A119" t="s">
        <v>654</v>
      </c>
      <c r="B119" t="s">
        <v>226</v>
      </c>
      <c r="C119" t="s">
        <v>49</v>
      </c>
      <c r="D119" t="s">
        <v>490</v>
      </c>
      <c r="E119" t="s">
        <v>75</v>
      </c>
      <c r="F119" s="3">
        <v>10.49253</v>
      </c>
      <c r="G119" s="3">
        <v>-0.92130000000000001</v>
      </c>
      <c r="H119" s="5">
        <v>0.58199999999999996</v>
      </c>
      <c r="I119" s="5">
        <v>0.496</v>
      </c>
      <c r="J119" s="5">
        <v>0.98799999999999999</v>
      </c>
      <c r="K119" s="5">
        <v>0.79200000000000004</v>
      </c>
      <c r="L119" s="5">
        <v>-0.40699999999999997</v>
      </c>
      <c r="M119" s="5">
        <v>1.272</v>
      </c>
      <c r="N119" s="5">
        <v>0.73699999999999999</v>
      </c>
      <c r="O119" s="5">
        <v>0.55200000000000005</v>
      </c>
      <c r="P119" s="5">
        <v>0.56899999999999995</v>
      </c>
      <c r="Q119" s="5">
        <v>0.496</v>
      </c>
      <c r="R119" s="5">
        <v>0.64200000000000002</v>
      </c>
      <c r="S119" s="5">
        <v>0.16500000000000001</v>
      </c>
      <c r="T119" s="5">
        <v>0.54500000000000004</v>
      </c>
      <c r="U119" s="5">
        <v>0.20899999999999999</v>
      </c>
      <c r="V119" s="5">
        <v>0.45300000000000001</v>
      </c>
      <c r="W119" t="s">
        <v>1316</v>
      </c>
      <c r="X119" t="s">
        <v>1317</v>
      </c>
      <c r="Y119" t="s">
        <v>1315</v>
      </c>
      <c r="Z119" t="s">
        <v>488</v>
      </c>
    </row>
    <row r="120" spans="1:26" x14ac:dyDescent="0.3">
      <c r="A120" t="s">
        <v>656</v>
      </c>
      <c r="B120" t="s">
        <v>228</v>
      </c>
      <c r="C120" t="s">
        <v>49</v>
      </c>
      <c r="D120" t="s">
        <v>484</v>
      </c>
      <c r="E120" t="s">
        <v>75</v>
      </c>
      <c r="F120" s="3">
        <v>10.21195</v>
      </c>
      <c r="G120" s="3">
        <v>-0.71316999999999997</v>
      </c>
      <c r="H120" s="5">
        <v>0.66400000000000003</v>
      </c>
      <c r="I120" s="5">
        <v>0.255</v>
      </c>
      <c r="J120" s="5">
        <v>-0.41799999999999998</v>
      </c>
      <c r="K120" s="5">
        <v>2.2709999999999999</v>
      </c>
      <c r="L120" s="5">
        <v>-0.57199999999999995</v>
      </c>
      <c r="M120" s="5">
        <v>1.3129999999999999</v>
      </c>
      <c r="N120" s="5">
        <v>0.63500000000000001</v>
      </c>
      <c r="O120" s="5">
        <v>0.47799999999999998</v>
      </c>
      <c r="P120" s="5">
        <v>0.38900000000000001</v>
      </c>
      <c r="Q120" s="5">
        <v>0.36299999999999999</v>
      </c>
      <c r="R120" s="5">
        <v>0.58799999999999997</v>
      </c>
      <c r="S120" s="5">
        <v>0.25600000000000001</v>
      </c>
      <c r="T120" s="5">
        <v>0.82399999999999995</v>
      </c>
      <c r="U120" s="5">
        <v>0.14599999999999999</v>
      </c>
      <c r="V120" s="5">
        <v>0.33400000000000002</v>
      </c>
      <c r="W120" t="s">
        <v>1316</v>
      </c>
      <c r="X120" t="s">
        <v>1317</v>
      </c>
      <c r="Y120" t="s">
        <v>1315</v>
      </c>
      <c r="Z120" t="s">
        <v>543</v>
      </c>
    </row>
    <row r="121" spans="1:26" x14ac:dyDescent="0.3">
      <c r="A121" t="s">
        <v>657</v>
      </c>
      <c r="B121" t="s">
        <v>228</v>
      </c>
      <c r="C121" t="s">
        <v>49</v>
      </c>
      <c r="D121" t="s">
        <v>490</v>
      </c>
      <c r="E121" t="s">
        <v>75</v>
      </c>
      <c r="F121" s="3">
        <v>10.21195</v>
      </c>
      <c r="G121" s="3">
        <v>-0.71316999999999997</v>
      </c>
      <c r="H121" s="5">
        <v>0.66400000000000003</v>
      </c>
      <c r="I121" s="5">
        <v>0.255</v>
      </c>
      <c r="J121" s="5">
        <v>0.69599999999999995</v>
      </c>
      <c r="K121" s="5">
        <v>1.5509999999999999</v>
      </c>
      <c r="L121" s="5">
        <v>-1.085</v>
      </c>
      <c r="M121" s="5">
        <v>1.177</v>
      </c>
      <c r="N121" s="5">
        <v>0.66300000000000003</v>
      </c>
      <c r="O121" s="5">
        <v>0.71299999999999997</v>
      </c>
      <c r="P121" s="5">
        <v>0.623</v>
      </c>
      <c r="Q121" s="5">
        <v>0.39300000000000002</v>
      </c>
      <c r="R121" s="5">
        <v>0.58899999999999997</v>
      </c>
      <c r="S121" s="5">
        <v>0.22700000000000001</v>
      </c>
      <c r="T121" s="5">
        <v>0.70399999999999996</v>
      </c>
      <c r="U121" s="5">
        <v>8.5000000000000006E-2</v>
      </c>
      <c r="V121" s="5">
        <v>0.47799999999999998</v>
      </c>
      <c r="W121" t="s">
        <v>1316</v>
      </c>
      <c r="X121" t="s">
        <v>1317</v>
      </c>
      <c r="Y121" t="s">
        <v>1315</v>
      </c>
      <c r="Z121" t="s">
        <v>488</v>
      </c>
    </row>
    <row r="122" spans="1:26" x14ac:dyDescent="0.3">
      <c r="A122" t="s">
        <v>659</v>
      </c>
      <c r="B122" t="s">
        <v>230</v>
      </c>
      <c r="C122" t="s">
        <v>49</v>
      </c>
      <c r="D122" t="s">
        <v>484</v>
      </c>
      <c r="E122" t="s">
        <v>75</v>
      </c>
      <c r="F122" s="3">
        <v>10.394310000000001</v>
      </c>
      <c r="G122" s="3">
        <v>-7.6960000000000001E-2</v>
      </c>
      <c r="H122" s="5">
        <v>0.59199999999999997</v>
      </c>
      <c r="I122" s="5">
        <v>0.316</v>
      </c>
      <c r="J122" s="5">
        <v>-0.254</v>
      </c>
      <c r="K122" s="5">
        <v>0.55500000000000005</v>
      </c>
      <c r="L122" s="5">
        <v>-0.63</v>
      </c>
      <c r="M122" s="5">
        <v>1.347</v>
      </c>
      <c r="N122" s="5">
        <v>0.88200000000000001</v>
      </c>
      <c r="O122" s="5">
        <v>0.59599999999999997</v>
      </c>
      <c r="P122" s="5">
        <v>0.38800000000000001</v>
      </c>
      <c r="Q122" s="5">
        <v>0.40600000000000003</v>
      </c>
      <c r="R122" s="5">
        <v>0.55900000000000005</v>
      </c>
      <c r="S122" s="5">
        <v>0.36699999999999999</v>
      </c>
      <c r="T122" s="5">
        <v>0.45100000000000001</v>
      </c>
      <c r="U122" s="5">
        <v>0.17699999999999999</v>
      </c>
      <c r="V122" s="5">
        <v>0.35099999999999998</v>
      </c>
      <c r="W122" t="s">
        <v>1312</v>
      </c>
      <c r="X122" t="s">
        <v>1313</v>
      </c>
      <c r="Y122" t="s">
        <v>1315</v>
      </c>
      <c r="Z122" t="s">
        <v>543</v>
      </c>
    </row>
    <row r="123" spans="1:26" x14ac:dyDescent="0.3">
      <c r="A123" t="s">
        <v>660</v>
      </c>
      <c r="B123" t="s">
        <v>230</v>
      </c>
      <c r="C123" t="s">
        <v>49</v>
      </c>
      <c r="D123" t="s">
        <v>490</v>
      </c>
      <c r="E123" t="s">
        <v>75</v>
      </c>
      <c r="F123" s="3">
        <v>10.394310000000001</v>
      </c>
      <c r="G123" s="3">
        <v>-7.6960000000000001E-2</v>
      </c>
      <c r="H123" s="5">
        <v>0.59199999999999997</v>
      </c>
      <c r="I123" s="5">
        <v>0.316</v>
      </c>
      <c r="J123" s="5">
        <v>0.72199999999999998</v>
      </c>
      <c r="K123" s="5">
        <v>1.2549999999999999</v>
      </c>
      <c r="L123" s="5">
        <v>0.18099999999999999</v>
      </c>
      <c r="M123" s="5">
        <v>1.224</v>
      </c>
      <c r="N123" s="5">
        <v>0.71299999999999997</v>
      </c>
      <c r="O123" s="5">
        <v>0.58099999999999996</v>
      </c>
      <c r="P123" s="5">
        <v>0.56399999999999995</v>
      </c>
      <c r="Q123" s="5">
        <v>0.42899999999999999</v>
      </c>
      <c r="R123" s="5">
        <v>0.6</v>
      </c>
      <c r="S123" s="5">
        <v>0.35</v>
      </c>
      <c r="T123" s="5">
        <v>0.56799999999999995</v>
      </c>
      <c r="U123" s="5">
        <v>0.27300000000000002</v>
      </c>
      <c r="V123" s="5">
        <v>0.44500000000000001</v>
      </c>
      <c r="W123" t="s">
        <v>1316</v>
      </c>
      <c r="X123" t="s">
        <v>1317</v>
      </c>
      <c r="Y123" t="s">
        <v>1315</v>
      </c>
      <c r="Z123" t="s">
        <v>488</v>
      </c>
    </row>
    <row r="124" spans="1:26" x14ac:dyDescent="0.3">
      <c r="A124" t="s">
        <v>661</v>
      </c>
      <c r="B124" t="s">
        <v>232</v>
      </c>
      <c r="C124" t="s">
        <v>49</v>
      </c>
      <c r="D124" t="s">
        <v>484</v>
      </c>
      <c r="E124" t="s">
        <v>142</v>
      </c>
      <c r="F124" s="3">
        <v>10.05463</v>
      </c>
      <c r="G124" s="3">
        <v>-0.16581000000000001</v>
      </c>
      <c r="H124" s="5">
        <v>0.66800000000000004</v>
      </c>
      <c r="I124" s="5">
        <v>8.6999999999999994E-2</v>
      </c>
      <c r="J124" s="5">
        <v>-1.365</v>
      </c>
      <c r="K124" s="5">
        <v>-1.3740000000000001</v>
      </c>
      <c r="L124" s="5">
        <v>-0.71699999999999997</v>
      </c>
      <c r="M124" s="5">
        <v>1.087</v>
      </c>
      <c r="N124" s="5">
        <v>0.72299999999999998</v>
      </c>
      <c r="O124" s="5">
        <v>0.83299999999999996</v>
      </c>
      <c r="P124" s="5">
        <v>0.40600000000000003</v>
      </c>
      <c r="Q124" s="5">
        <v>0.40600000000000003</v>
      </c>
      <c r="R124" s="5">
        <v>0.35299999999999998</v>
      </c>
      <c r="S124" s="5">
        <v>0.32900000000000001</v>
      </c>
      <c r="T124" s="5">
        <v>8.9999999999999993E-3</v>
      </c>
      <c r="U124" s="5">
        <v>0.125</v>
      </c>
      <c r="V124" s="5">
        <v>0.34200000000000003</v>
      </c>
      <c r="W124" t="s">
        <v>1318</v>
      </c>
      <c r="X124" t="s">
        <v>1319</v>
      </c>
      <c r="Y124" t="s">
        <v>1315</v>
      </c>
      <c r="Z124" t="s">
        <v>488</v>
      </c>
    </row>
    <row r="125" spans="1:26" x14ac:dyDescent="0.3">
      <c r="A125" t="s">
        <v>663</v>
      </c>
      <c r="B125" t="s">
        <v>232</v>
      </c>
      <c r="C125" t="s">
        <v>49</v>
      </c>
      <c r="D125" t="s">
        <v>490</v>
      </c>
      <c r="E125" t="s">
        <v>142</v>
      </c>
      <c r="F125" s="3">
        <v>10.05463</v>
      </c>
      <c r="G125" s="3">
        <v>-0.16581000000000001</v>
      </c>
      <c r="H125" s="5">
        <v>0.66800000000000004</v>
      </c>
      <c r="I125" s="5">
        <v>8.6999999999999994E-2</v>
      </c>
      <c r="J125" s="5">
        <v>0.72499999999999998</v>
      </c>
      <c r="K125" s="5">
        <v>-0.999</v>
      </c>
      <c r="L125" s="5">
        <v>-0.39200000000000002</v>
      </c>
      <c r="M125" s="5">
        <v>0.78500000000000003</v>
      </c>
      <c r="N125" s="5">
        <v>0.69399999999999995</v>
      </c>
      <c r="O125" s="5">
        <v>1.0669999999999999</v>
      </c>
      <c r="P125" s="5">
        <v>0.69799999999999995</v>
      </c>
      <c r="Q125" s="5">
        <v>0.497</v>
      </c>
      <c r="R125" s="5">
        <v>0.13600000000000001</v>
      </c>
      <c r="S125" s="5">
        <v>0.254</v>
      </c>
      <c r="T125" s="5">
        <v>7.1999999999999995E-2</v>
      </c>
      <c r="U125" s="5">
        <v>0.16400000000000001</v>
      </c>
      <c r="V125" s="5">
        <v>0.54</v>
      </c>
      <c r="W125" t="s">
        <v>1318</v>
      </c>
      <c r="X125" t="s">
        <v>1319</v>
      </c>
      <c r="Y125" t="s">
        <v>1315</v>
      </c>
      <c r="Z125" t="s">
        <v>488</v>
      </c>
    </row>
    <row r="126" spans="1:26" x14ac:dyDescent="0.3">
      <c r="A126" t="s">
        <v>665</v>
      </c>
      <c r="B126" t="s">
        <v>234</v>
      </c>
      <c r="C126" t="s">
        <v>49</v>
      </c>
      <c r="D126" t="s">
        <v>484</v>
      </c>
      <c r="E126" t="s">
        <v>75</v>
      </c>
      <c r="F126" s="3">
        <v>9.7528699999999997</v>
      </c>
      <c r="G126" s="3">
        <v>-1.25892</v>
      </c>
      <c r="H126" s="5">
        <v>0.627</v>
      </c>
      <c r="I126" s="5">
        <v>0.39800000000000002</v>
      </c>
      <c r="J126" s="5">
        <v>-1.244</v>
      </c>
      <c r="K126" s="5">
        <v>-0.90800000000000003</v>
      </c>
      <c r="L126" s="5">
        <v>-0.14199999999999999</v>
      </c>
      <c r="M126" s="5">
        <v>1.6439999999999999</v>
      </c>
      <c r="N126" s="5">
        <v>0.79100000000000004</v>
      </c>
      <c r="O126" s="5">
        <v>0.52600000000000002</v>
      </c>
      <c r="P126" s="5">
        <v>0.33200000000000002</v>
      </c>
      <c r="Q126" s="5">
        <v>0.39600000000000002</v>
      </c>
      <c r="R126" s="5">
        <v>0.56499999999999995</v>
      </c>
      <c r="S126" s="5">
        <v>0.39600000000000002</v>
      </c>
      <c r="T126" s="5">
        <v>0.13500000000000001</v>
      </c>
      <c r="U126" s="5">
        <v>0.27400000000000002</v>
      </c>
      <c r="V126" s="5">
        <v>0.28999999999999998</v>
      </c>
      <c r="W126" t="s">
        <v>1312</v>
      </c>
      <c r="X126" t="s">
        <v>1313</v>
      </c>
      <c r="Y126" t="s">
        <v>1315</v>
      </c>
      <c r="Z126" t="s">
        <v>488</v>
      </c>
    </row>
    <row r="127" spans="1:26" x14ac:dyDescent="0.3">
      <c r="A127" t="s">
        <v>667</v>
      </c>
      <c r="B127" t="s">
        <v>234</v>
      </c>
      <c r="C127" t="s">
        <v>49</v>
      </c>
      <c r="D127" t="s">
        <v>490</v>
      </c>
      <c r="E127" t="s">
        <v>75</v>
      </c>
      <c r="F127" s="3">
        <v>9.7528699999999997</v>
      </c>
      <c r="G127" s="3">
        <v>-1.25892</v>
      </c>
      <c r="H127" s="5">
        <v>0.627</v>
      </c>
      <c r="I127" s="5">
        <v>0.39800000000000002</v>
      </c>
      <c r="J127" s="5">
        <v>0.82399999999999995</v>
      </c>
      <c r="K127" s="5">
        <v>-0.24399999999999999</v>
      </c>
      <c r="L127" s="5">
        <v>0.48</v>
      </c>
      <c r="M127" s="5">
        <v>1.131</v>
      </c>
      <c r="N127" s="5">
        <v>0.74</v>
      </c>
      <c r="O127" s="5">
        <v>0.71399999999999997</v>
      </c>
      <c r="P127" s="5">
        <v>0.61299999999999999</v>
      </c>
      <c r="Q127" s="5">
        <v>0.48299999999999998</v>
      </c>
      <c r="R127" s="5">
        <v>0.57199999999999995</v>
      </c>
      <c r="S127" s="5">
        <v>0.22</v>
      </c>
      <c r="T127" s="5">
        <v>0.245</v>
      </c>
      <c r="U127" s="5">
        <v>0.34799999999999998</v>
      </c>
      <c r="V127" s="5">
        <v>0.47899999999999998</v>
      </c>
      <c r="W127" t="s">
        <v>1318</v>
      </c>
      <c r="X127" t="s">
        <v>1319</v>
      </c>
      <c r="Y127" t="s">
        <v>1315</v>
      </c>
      <c r="Z127" t="s">
        <v>488</v>
      </c>
    </row>
    <row r="128" spans="1:26" x14ac:dyDescent="0.3">
      <c r="A128" t="s">
        <v>668</v>
      </c>
      <c r="B128" t="s">
        <v>236</v>
      </c>
      <c r="C128" t="s">
        <v>49</v>
      </c>
      <c r="D128" t="s">
        <v>484</v>
      </c>
      <c r="E128" t="s">
        <v>142</v>
      </c>
      <c r="F128" s="3">
        <v>10.823790000000001</v>
      </c>
      <c r="G128" s="3">
        <v>-0.52070000000000005</v>
      </c>
      <c r="H128" s="5">
        <v>0.69399999999999995</v>
      </c>
      <c r="I128" s="5">
        <v>0.47699999999999998</v>
      </c>
      <c r="J128" s="5">
        <v>-1.099</v>
      </c>
      <c r="K128" s="5">
        <v>-1.0589999999999999</v>
      </c>
      <c r="L128" s="5">
        <v>-0.70699999999999996</v>
      </c>
      <c r="M128" s="5">
        <v>1.35</v>
      </c>
      <c r="N128" s="5">
        <v>0.91500000000000004</v>
      </c>
      <c r="O128" s="5">
        <v>0.54800000000000004</v>
      </c>
      <c r="P128" s="5">
        <v>0.377</v>
      </c>
      <c r="Q128" s="5">
        <v>0.38600000000000001</v>
      </c>
      <c r="R128" s="5">
        <v>0.34799999999999998</v>
      </c>
      <c r="S128" s="5">
        <v>0.32600000000000001</v>
      </c>
      <c r="T128" s="5">
        <v>6.2E-2</v>
      </c>
      <c r="U128" s="5">
        <v>0.13700000000000001</v>
      </c>
      <c r="V128" s="5">
        <v>0.313</v>
      </c>
      <c r="W128" t="s">
        <v>1320</v>
      </c>
      <c r="X128" t="s">
        <v>1321</v>
      </c>
      <c r="Y128" t="s">
        <v>1315</v>
      </c>
      <c r="Z128" t="s">
        <v>488</v>
      </c>
    </row>
    <row r="129" spans="1:26" x14ac:dyDescent="0.3">
      <c r="A129" t="s">
        <v>669</v>
      </c>
      <c r="B129" t="s">
        <v>236</v>
      </c>
      <c r="C129" t="s">
        <v>49</v>
      </c>
      <c r="D129" t="s">
        <v>490</v>
      </c>
      <c r="E129" t="s">
        <v>142</v>
      </c>
      <c r="F129" s="3">
        <v>10.823790000000001</v>
      </c>
      <c r="G129" s="3">
        <v>-0.52070000000000005</v>
      </c>
      <c r="H129" s="5">
        <v>0.69399999999999995</v>
      </c>
      <c r="I129" s="5">
        <v>0.47699999999999998</v>
      </c>
      <c r="J129" s="5">
        <v>0.56399999999999995</v>
      </c>
      <c r="K129" s="5">
        <v>-0.91300000000000003</v>
      </c>
      <c r="L129" s="5">
        <v>-7.0000000000000001E-3</v>
      </c>
      <c r="M129" s="5">
        <v>1.2330000000000001</v>
      </c>
      <c r="N129" s="5">
        <v>0.83299999999999996</v>
      </c>
      <c r="O129" s="5">
        <v>0.70599999999999996</v>
      </c>
      <c r="P129" s="5">
        <v>0.628</v>
      </c>
      <c r="Q129" s="5">
        <v>0.42799999999999999</v>
      </c>
      <c r="R129" s="5">
        <v>0.28799999999999998</v>
      </c>
      <c r="S129" s="5">
        <v>0.39400000000000002</v>
      </c>
      <c r="T129" s="5">
        <v>8.5999999999999993E-2</v>
      </c>
      <c r="U129" s="5">
        <v>0.219</v>
      </c>
      <c r="V129" s="5">
        <v>0.47399999999999998</v>
      </c>
      <c r="W129" t="s">
        <v>1318</v>
      </c>
      <c r="X129" t="s">
        <v>1319</v>
      </c>
      <c r="Y129" t="s">
        <v>1315</v>
      </c>
      <c r="Z129" t="s">
        <v>488</v>
      </c>
    </row>
    <row r="130" spans="1:26" x14ac:dyDescent="0.3">
      <c r="A130" t="s">
        <v>670</v>
      </c>
      <c r="B130" t="s">
        <v>238</v>
      </c>
      <c r="C130" t="s">
        <v>49</v>
      </c>
      <c r="D130" t="s">
        <v>484</v>
      </c>
      <c r="E130" t="s">
        <v>75</v>
      </c>
      <c r="F130" s="3">
        <v>10.064859999999999</v>
      </c>
      <c r="G130" s="3">
        <v>-0.87956000000000001</v>
      </c>
      <c r="H130" s="5">
        <v>0.53500000000000003</v>
      </c>
      <c r="I130" s="5">
        <v>0.19600000000000001</v>
      </c>
      <c r="J130" s="5">
        <v>-1.1100000000000001</v>
      </c>
      <c r="K130" s="5">
        <v>-0.84299999999999997</v>
      </c>
      <c r="L130" s="5">
        <v>-0.83</v>
      </c>
      <c r="M130" s="5">
        <v>1.5940000000000001</v>
      </c>
      <c r="N130" s="5">
        <v>1.0229999999999999</v>
      </c>
      <c r="O130" s="5">
        <v>0.52300000000000002</v>
      </c>
      <c r="P130" s="5">
        <v>0.29499999999999998</v>
      </c>
      <c r="Q130" s="5">
        <v>0.42699999999999999</v>
      </c>
      <c r="R130" s="5">
        <v>0.53700000000000003</v>
      </c>
      <c r="S130" s="5">
        <v>0.36699999999999999</v>
      </c>
      <c r="T130" s="5">
        <v>0.185</v>
      </c>
      <c r="U130" s="5">
        <v>0.10299999999999999</v>
      </c>
      <c r="V130" s="5">
        <v>0.28199999999999997</v>
      </c>
      <c r="W130" t="s">
        <v>1312</v>
      </c>
      <c r="X130" t="s">
        <v>1313</v>
      </c>
      <c r="Y130" t="s">
        <v>1315</v>
      </c>
      <c r="Z130" t="s">
        <v>488</v>
      </c>
    </row>
    <row r="131" spans="1:26" x14ac:dyDescent="0.3">
      <c r="A131" t="s">
        <v>671</v>
      </c>
      <c r="B131" t="s">
        <v>238</v>
      </c>
      <c r="C131" t="s">
        <v>49</v>
      </c>
      <c r="D131" t="s">
        <v>490</v>
      </c>
      <c r="E131" t="s">
        <v>75</v>
      </c>
      <c r="F131" s="3">
        <v>10.064859999999999</v>
      </c>
      <c r="G131" s="3">
        <v>-0.87956000000000001</v>
      </c>
      <c r="H131" s="5">
        <v>0.53500000000000003</v>
      </c>
      <c r="I131" s="5">
        <v>0.19600000000000001</v>
      </c>
      <c r="J131" s="5">
        <v>1.17</v>
      </c>
      <c r="K131" s="5">
        <v>-0.67700000000000005</v>
      </c>
      <c r="L131" s="5">
        <v>-0.22900000000000001</v>
      </c>
      <c r="M131" s="5">
        <v>1.0569999999999999</v>
      </c>
      <c r="N131" s="5">
        <v>0.745</v>
      </c>
      <c r="O131" s="5">
        <v>0.65100000000000002</v>
      </c>
      <c r="P131" s="5">
        <v>0.57699999999999996</v>
      </c>
      <c r="Q131" s="5">
        <v>0.45</v>
      </c>
      <c r="R131" s="5">
        <v>0.57599999999999996</v>
      </c>
      <c r="S131" s="5">
        <v>0.193</v>
      </c>
      <c r="T131" s="5">
        <v>0.21199999999999999</v>
      </c>
      <c r="U131" s="5">
        <v>0.17399999999999999</v>
      </c>
      <c r="V131" s="5">
        <v>0.47199999999999998</v>
      </c>
      <c r="W131" t="s">
        <v>1318</v>
      </c>
      <c r="X131" t="s">
        <v>1319</v>
      </c>
      <c r="Y131" t="s">
        <v>1315</v>
      </c>
      <c r="Z131" t="s">
        <v>488</v>
      </c>
    </row>
    <row r="132" spans="1:26" x14ac:dyDescent="0.3">
      <c r="A132" t="s">
        <v>672</v>
      </c>
      <c r="B132" t="s">
        <v>240</v>
      </c>
      <c r="C132" t="s">
        <v>49</v>
      </c>
      <c r="D132" t="s">
        <v>484</v>
      </c>
      <c r="E132" t="s">
        <v>101</v>
      </c>
      <c r="F132" s="3">
        <v>10.813470000000001</v>
      </c>
      <c r="G132" s="3">
        <v>-1.2730999999999999</v>
      </c>
      <c r="H132" s="5">
        <v>0.66800000000000004</v>
      </c>
      <c r="I132" s="5">
        <v>0.158</v>
      </c>
      <c r="J132" s="5">
        <v>-0.48</v>
      </c>
      <c r="K132" s="5">
        <v>-1.1519999999999999</v>
      </c>
      <c r="L132" s="5">
        <v>-0.64500000000000002</v>
      </c>
      <c r="M132" s="5">
        <v>0.82099999999999995</v>
      </c>
      <c r="N132" s="5">
        <v>0.66800000000000004</v>
      </c>
      <c r="O132" s="5">
        <v>0.88600000000000001</v>
      </c>
      <c r="P132" s="5">
        <v>0.46899999999999997</v>
      </c>
      <c r="Q132" s="5">
        <v>0.63600000000000001</v>
      </c>
      <c r="R132" s="5">
        <v>0.32400000000000001</v>
      </c>
      <c r="S132" s="5">
        <v>0.16900000000000001</v>
      </c>
      <c r="T132" s="5">
        <v>8.5000000000000006E-2</v>
      </c>
      <c r="U132" s="5">
        <v>0.26100000000000001</v>
      </c>
      <c r="V132" s="5">
        <v>0.40100000000000002</v>
      </c>
      <c r="W132" t="s">
        <v>1312</v>
      </c>
      <c r="X132" t="s">
        <v>1313</v>
      </c>
      <c r="Y132" t="s">
        <v>1315</v>
      </c>
      <c r="Z132" t="s">
        <v>488</v>
      </c>
    </row>
    <row r="133" spans="1:26" x14ac:dyDescent="0.3">
      <c r="A133" t="s">
        <v>674</v>
      </c>
      <c r="B133" t="s">
        <v>240</v>
      </c>
      <c r="C133" t="s">
        <v>49</v>
      </c>
      <c r="D133" t="s">
        <v>490</v>
      </c>
      <c r="E133" t="s">
        <v>101</v>
      </c>
      <c r="F133" s="3">
        <v>10.813470000000001</v>
      </c>
      <c r="G133" s="3">
        <v>-1.2730999999999999</v>
      </c>
      <c r="H133" s="5">
        <v>0.66800000000000004</v>
      </c>
      <c r="I133" s="5">
        <v>0.158</v>
      </c>
      <c r="J133" s="5">
        <v>0.56200000000000006</v>
      </c>
      <c r="K133" s="5">
        <v>-0.63400000000000001</v>
      </c>
      <c r="L133" s="5">
        <v>0.63600000000000001</v>
      </c>
      <c r="M133" s="5">
        <v>0.98599999999999999</v>
      </c>
      <c r="N133" s="5">
        <v>0.78100000000000003</v>
      </c>
      <c r="O133" s="5">
        <v>0.83</v>
      </c>
      <c r="P133" s="5">
        <v>0.64</v>
      </c>
      <c r="Q133" s="5">
        <v>0.79900000000000004</v>
      </c>
      <c r="R133" s="5">
        <v>0.32200000000000001</v>
      </c>
      <c r="S133" s="5">
        <v>0.253</v>
      </c>
      <c r="T133" s="5">
        <v>0.17100000000000001</v>
      </c>
      <c r="U133" s="5">
        <v>0.41299999999999998</v>
      </c>
      <c r="V133" s="5">
        <v>0.49099999999999999</v>
      </c>
      <c r="W133" t="s">
        <v>1312</v>
      </c>
      <c r="X133" t="s">
        <v>1313</v>
      </c>
      <c r="Y133" t="s">
        <v>1315</v>
      </c>
      <c r="Z133" t="s">
        <v>488</v>
      </c>
    </row>
    <row r="134" spans="1:26" x14ac:dyDescent="0.3">
      <c r="A134" t="s">
        <v>675</v>
      </c>
      <c r="B134" t="s">
        <v>242</v>
      </c>
      <c r="C134" t="s">
        <v>49</v>
      </c>
      <c r="D134" t="s">
        <v>484</v>
      </c>
      <c r="E134" t="s">
        <v>75</v>
      </c>
      <c r="F134" s="3">
        <v>9.5447399999999991</v>
      </c>
      <c r="G134" s="3">
        <v>-0.65822000000000003</v>
      </c>
      <c r="H134" s="5">
        <v>0.63900000000000001</v>
      </c>
      <c r="I134" s="5">
        <v>0.36</v>
      </c>
      <c r="J134" s="5">
        <v>-0.76300000000000001</v>
      </c>
      <c r="K134" s="5">
        <v>-0.50800000000000001</v>
      </c>
      <c r="L134" s="5">
        <v>-0.76100000000000001</v>
      </c>
      <c r="M134" s="5">
        <v>1.8180000000000001</v>
      </c>
      <c r="N134" s="5">
        <v>0.93</v>
      </c>
      <c r="O134" s="5">
        <v>0.45300000000000001</v>
      </c>
      <c r="P134" s="5">
        <v>0.35199999999999998</v>
      </c>
      <c r="Q134" s="5">
        <v>0.38100000000000001</v>
      </c>
      <c r="R134" s="5">
        <v>0.61599999999999999</v>
      </c>
      <c r="S134" s="5">
        <v>0.39600000000000002</v>
      </c>
      <c r="T134" s="5">
        <v>0.23599999999999999</v>
      </c>
      <c r="U134" s="5">
        <v>0.15</v>
      </c>
      <c r="V134" s="5">
        <v>0.30599999999999999</v>
      </c>
      <c r="W134" t="s">
        <v>1312</v>
      </c>
      <c r="X134" t="s">
        <v>1313</v>
      </c>
      <c r="Y134" t="s">
        <v>1315</v>
      </c>
      <c r="Z134" t="s">
        <v>488</v>
      </c>
    </row>
    <row r="135" spans="1:26" x14ac:dyDescent="0.3">
      <c r="A135" t="s">
        <v>676</v>
      </c>
      <c r="B135" t="s">
        <v>242</v>
      </c>
      <c r="C135" t="s">
        <v>49</v>
      </c>
      <c r="D135" t="s">
        <v>490</v>
      </c>
      <c r="E135" t="s">
        <v>75</v>
      </c>
      <c r="F135" s="3">
        <v>9.5447399999999991</v>
      </c>
      <c r="G135" s="3">
        <v>-0.65822000000000003</v>
      </c>
      <c r="H135" s="5">
        <v>0.63900000000000001</v>
      </c>
      <c r="I135" s="5">
        <v>0.36</v>
      </c>
      <c r="J135" s="5">
        <v>0.94599999999999995</v>
      </c>
      <c r="K135" s="5">
        <v>-0.20899999999999999</v>
      </c>
      <c r="L135" s="5">
        <v>-0.53500000000000003</v>
      </c>
      <c r="M135" s="5">
        <v>1.165</v>
      </c>
      <c r="N135" s="5">
        <v>0.72899999999999998</v>
      </c>
      <c r="O135" s="5">
        <v>0.66200000000000003</v>
      </c>
      <c r="P135" s="5">
        <v>0.61599999999999999</v>
      </c>
      <c r="Q135" s="5">
        <v>0.47399999999999998</v>
      </c>
      <c r="R135" s="5">
        <v>0.56799999999999995</v>
      </c>
      <c r="S135" s="5">
        <v>0.23799999999999999</v>
      </c>
      <c r="T135" s="5">
        <v>0.28599999999999998</v>
      </c>
      <c r="U135" s="5">
        <v>0.17699999999999999</v>
      </c>
      <c r="V135" s="5">
        <v>0.47899999999999998</v>
      </c>
      <c r="W135" t="s">
        <v>1318</v>
      </c>
      <c r="X135" t="s">
        <v>1319</v>
      </c>
      <c r="Y135" t="s">
        <v>1314</v>
      </c>
      <c r="Z135" t="s">
        <v>488</v>
      </c>
    </row>
    <row r="136" spans="1:26" x14ac:dyDescent="0.3">
      <c r="A136" t="s">
        <v>677</v>
      </c>
      <c r="B136" t="s">
        <v>244</v>
      </c>
      <c r="C136" t="s">
        <v>49</v>
      </c>
      <c r="D136" t="s">
        <v>484</v>
      </c>
      <c r="E136" t="s">
        <v>101</v>
      </c>
      <c r="F136" s="3">
        <v>10.35145</v>
      </c>
      <c r="G136" s="3">
        <v>-0.10063999999999999</v>
      </c>
      <c r="H136" s="5">
        <v>0.70899999999999996</v>
      </c>
      <c r="I136" s="5">
        <v>0.223</v>
      </c>
      <c r="J136" s="5">
        <v>-0.99299999999999999</v>
      </c>
      <c r="K136" s="5">
        <v>-0.48899999999999999</v>
      </c>
      <c r="L136" s="5">
        <v>-0.54300000000000004</v>
      </c>
      <c r="M136" s="5">
        <v>1.2909999999999999</v>
      </c>
      <c r="N136" s="5">
        <v>0.8</v>
      </c>
      <c r="O136" s="5">
        <v>0.74099999999999999</v>
      </c>
      <c r="P136" s="5">
        <v>0.42899999999999999</v>
      </c>
      <c r="Q136" s="5">
        <v>0.75</v>
      </c>
      <c r="R136" s="5">
        <v>0.27100000000000002</v>
      </c>
      <c r="S136" s="5">
        <v>0.33800000000000002</v>
      </c>
      <c r="T136" s="5">
        <v>0.25900000000000001</v>
      </c>
      <c r="U136" s="5">
        <v>0.155</v>
      </c>
      <c r="V136" s="5">
        <v>0.35399999999999998</v>
      </c>
      <c r="W136" t="s">
        <v>1312</v>
      </c>
      <c r="X136" t="s">
        <v>1313</v>
      </c>
      <c r="Y136" t="s">
        <v>1315</v>
      </c>
      <c r="Z136" t="s">
        <v>488</v>
      </c>
    </row>
    <row r="137" spans="1:26" x14ac:dyDescent="0.3">
      <c r="A137" t="s">
        <v>678</v>
      </c>
      <c r="B137" t="s">
        <v>244</v>
      </c>
      <c r="C137" t="s">
        <v>49</v>
      </c>
      <c r="D137" t="s">
        <v>490</v>
      </c>
      <c r="E137" t="s">
        <v>101</v>
      </c>
      <c r="F137" s="3">
        <v>10.35145</v>
      </c>
      <c r="G137" s="3">
        <v>-0.10063999999999999</v>
      </c>
      <c r="H137" s="5">
        <v>0.70899999999999996</v>
      </c>
      <c r="I137" s="5">
        <v>0.223</v>
      </c>
      <c r="J137" s="5">
        <v>0.33300000000000002</v>
      </c>
      <c r="K137" s="5">
        <v>-0.35699999999999998</v>
      </c>
      <c r="L137" s="5">
        <v>-0.91100000000000003</v>
      </c>
      <c r="M137" s="5">
        <v>1.24</v>
      </c>
      <c r="N137" s="5">
        <v>0.79900000000000004</v>
      </c>
      <c r="O137" s="5">
        <v>0.58199999999999996</v>
      </c>
      <c r="P137" s="5">
        <v>0.59599999999999997</v>
      </c>
      <c r="Q137" s="5">
        <v>0.8</v>
      </c>
      <c r="R137" s="5">
        <v>0.317</v>
      </c>
      <c r="S137" s="5">
        <v>0.26300000000000001</v>
      </c>
      <c r="T137" s="5">
        <v>0.28100000000000003</v>
      </c>
      <c r="U137" s="5">
        <v>0.112</v>
      </c>
      <c r="V137" s="5">
        <v>0.443</v>
      </c>
      <c r="W137" t="s">
        <v>1312</v>
      </c>
      <c r="X137" t="s">
        <v>1313</v>
      </c>
      <c r="Y137" t="s">
        <v>1315</v>
      </c>
      <c r="Z137" t="s">
        <v>488</v>
      </c>
    </row>
    <row r="138" spans="1:26" x14ac:dyDescent="0.3">
      <c r="A138" t="s">
        <v>679</v>
      </c>
      <c r="B138" t="s">
        <v>246</v>
      </c>
      <c r="C138" t="s">
        <v>49</v>
      </c>
      <c r="D138" t="s">
        <v>484</v>
      </c>
      <c r="E138" t="s">
        <v>75</v>
      </c>
      <c r="F138" s="3">
        <v>9.7584999999999997</v>
      </c>
      <c r="G138" s="3">
        <v>0.14379</v>
      </c>
      <c r="H138" s="5">
        <v>0.59299999999999997</v>
      </c>
      <c r="I138" s="5">
        <v>0.24</v>
      </c>
      <c r="J138" s="5">
        <v>-1.0209999999999999</v>
      </c>
      <c r="K138" s="5">
        <v>-0.90700000000000003</v>
      </c>
      <c r="L138" s="5">
        <v>-0.38800000000000001</v>
      </c>
      <c r="M138" s="5">
        <v>1.427</v>
      </c>
      <c r="N138" s="5">
        <v>0.84</v>
      </c>
      <c r="O138" s="5">
        <v>0.502</v>
      </c>
      <c r="P138" s="5">
        <v>0.32400000000000001</v>
      </c>
      <c r="Q138" s="5">
        <v>0.30099999999999999</v>
      </c>
      <c r="R138" s="5">
        <v>0.67400000000000004</v>
      </c>
      <c r="S138" s="5">
        <v>0.22900000000000001</v>
      </c>
      <c r="T138" s="5">
        <v>8.6999999999999994E-2</v>
      </c>
      <c r="U138" s="5">
        <v>0.22600000000000001</v>
      </c>
      <c r="V138" s="5">
        <v>0.29299999999999998</v>
      </c>
      <c r="W138" t="s">
        <v>1312</v>
      </c>
      <c r="X138" t="s">
        <v>1313</v>
      </c>
      <c r="Y138" t="s">
        <v>1315</v>
      </c>
      <c r="Z138" t="s">
        <v>488</v>
      </c>
    </row>
    <row r="139" spans="1:26" x14ac:dyDescent="0.3">
      <c r="A139" t="s">
        <v>680</v>
      </c>
      <c r="B139" t="s">
        <v>246</v>
      </c>
      <c r="C139" t="s">
        <v>49</v>
      </c>
      <c r="D139" t="s">
        <v>490</v>
      </c>
      <c r="E139" t="s">
        <v>75</v>
      </c>
      <c r="F139" s="3">
        <v>9.7584999999999997</v>
      </c>
      <c r="G139" s="3">
        <v>0.14379</v>
      </c>
      <c r="H139" s="5">
        <v>0.59299999999999997</v>
      </c>
      <c r="I139" s="5">
        <v>0.24</v>
      </c>
      <c r="J139" s="5">
        <v>0.90700000000000003</v>
      </c>
      <c r="K139" s="5">
        <v>-0.51800000000000002</v>
      </c>
      <c r="L139" s="5">
        <v>0.17299999999999999</v>
      </c>
      <c r="M139" s="5">
        <v>1.1639999999999999</v>
      </c>
      <c r="N139" s="5">
        <v>0.75900000000000001</v>
      </c>
      <c r="O139" s="5">
        <v>0.79800000000000004</v>
      </c>
      <c r="P139" s="5">
        <v>0.61899999999999999</v>
      </c>
      <c r="Q139" s="5">
        <v>0.52400000000000002</v>
      </c>
      <c r="R139" s="5">
        <v>0.57099999999999995</v>
      </c>
      <c r="S139" s="5">
        <v>0.27400000000000002</v>
      </c>
      <c r="T139" s="5">
        <v>0.152</v>
      </c>
      <c r="U139" s="5">
        <v>0.29199999999999998</v>
      </c>
      <c r="V139" s="5">
        <v>0.49199999999999999</v>
      </c>
      <c r="W139" t="s">
        <v>1318</v>
      </c>
      <c r="X139" t="s">
        <v>1319</v>
      </c>
      <c r="Y139" t="s">
        <v>1315</v>
      </c>
      <c r="Z139" t="s">
        <v>488</v>
      </c>
    </row>
    <row r="140" spans="1:26" x14ac:dyDescent="0.3">
      <c r="A140" t="s">
        <v>681</v>
      </c>
      <c r="B140" t="s">
        <v>248</v>
      </c>
      <c r="C140" t="s">
        <v>49</v>
      </c>
      <c r="D140" t="s">
        <v>484</v>
      </c>
      <c r="E140" t="s">
        <v>101</v>
      </c>
      <c r="F140" s="3">
        <v>9.3519000000000005</v>
      </c>
      <c r="G140" s="3">
        <v>-0.69767000000000001</v>
      </c>
      <c r="H140" s="5">
        <v>0.54600000000000004</v>
      </c>
      <c r="I140" s="5">
        <v>0.35799999999999998</v>
      </c>
      <c r="J140" s="5">
        <v>-1.4039999999999999</v>
      </c>
      <c r="K140" s="5">
        <v>-0.72799999999999998</v>
      </c>
      <c r="L140" s="5">
        <v>-0.27800000000000002</v>
      </c>
      <c r="M140" s="5">
        <v>0.95899999999999996</v>
      </c>
      <c r="N140" s="5">
        <v>0.66800000000000004</v>
      </c>
      <c r="O140" s="5">
        <v>0.54300000000000004</v>
      </c>
      <c r="P140" s="5">
        <v>0.28599999999999998</v>
      </c>
      <c r="Q140" s="5">
        <v>0.70699999999999996</v>
      </c>
      <c r="R140" s="5">
        <v>0.27200000000000002</v>
      </c>
      <c r="S140" s="5">
        <v>0.20300000000000001</v>
      </c>
      <c r="T140" s="5">
        <v>0.21</v>
      </c>
      <c r="U140" s="5">
        <v>0.24</v>
      </c>
      <c r="V140" s="5">
        <v>0.27</v>
      </c>
      <c r="W140" t="s">
        <v>1312</v>
      </c>
      <c r="X140" t="s">
        <v>1313</v>
      </c>
      <c r="Y140" t="s">
        <v>1314</v>
      </c>
      <c r="Z140" t="s">
        <v>488</v>
      </c>
    </row>
    <row r="141" spans="1:26" x14ac:dyDescent="0.3">
      <c r="A141" t="s">
        <v>682</v>
      </c>
      <c r="B141" t="s">
        <v>248</v>
      </c>
      <c r="C141" t="s">
        <v>49</v>
      </c>
      <c r="D141" t="s">
        <v>490</v>
      </c>
      <c r="E141" t="s">
        <v>101</v>
      </c>
      <c r="F141" s="3">
        <v>9.3519000000000005</v>
      </c>
      <c r="G141" s="3">
        <v>-0.69767000000000001</v>
      </c>
      <c r="H141" s="5">
        <v>0.54600000000000004</v>
      </c>
      <c r="I141" s="5">
        <v>0.35799999999999998</v>
      </c>
      <c r="J141" s="5">
        <v>-0.39900000000000002</v>
      </c>
      <c r="K141" s="5">
        <v>-0.69099999999999995</v>
      </c>
      <c r="L141" s="5">
        <v>0.23200000000000001</v>
      </c>
      <c r="M141" s="5">
        <v>0.94499999999999995</v>
      </c>
      <c r="N141" s="5">
        <v>0.71199999999999997</v>
      </c>
      <c r="O141" s="5">
        <v>0.73</v>
      </c>
      <c r="P141" s="5">
        <v>0.504</v>
      </c>
      <c r="Q141" s="5">
        <v>0.65800000000000003</v>
      </c>
      <c r="R141" s="5">
        <v>0.26600000000000001</v>
      </c>
      <c r="S141" s="5">
        <v>0.10199999999999999</v>
      </c>
      <c r="T141" s="5">
        <v>0.217</v>
      </c>
      <c r="U141" s="5">
        <v>0.3</v>
      </c>
      <c r="V141" s="5">
        <v>0.4</v>
      </c>
      <c r="W141" t="s">
        <v>1312</v>
      </c>
      <c r="X141" t="s">
        <v>1313</v>
      </c>
      <c r="Y141" t="s">
        <v>1315</v>
      </c>
      <c r="Z141" t="s">
        <v>488</v>
      </c>
    </row>
    <row r="142" spans="1:26" x14ac:dyDescent="0.3">
      <c r="A142" t="s">
        <v>683</v>
      </c>
      <c r="B142" t="s">
        <v>250</v>
      </c>
      <c r="C142" t="s">
        <v>49</v>
      </c>
      <c r="D142" t="s">
        <v>484</v>
      </c>
      <c r="E142" t="s">
        <v>142</v>
      </c>
      <c r="F142" s="3">
        <v>10.46217</v>
      </c>
      <c r="G142" s="3">
        <v>-0.91188999999999998</v>
      </c>
      <c r="H142" s="5">
        <v>0.69</v>
      </c>
      <c r="I142" s="5">
        <v>0.33</v>
      </c>
      <c r="J142" s="5">
        <v>-1.0529999999999999</v>
      </c>
      <c r="K142" s="5">
        <v>-0.499</v>
      </c>
      <c r="L142" s="5">
        <v>-0.871</v>
      </c>
      <c r="M142" s="5">
        <v>1.2809999999999999</v>
      </c>
      <c r="N142" s="5">
        <v>0.85699999999999998</v>
      </c>
      <c r="O142" s="5">
        <v>0.57299999999999995</v>
      </c>
      <c r="P142" s="5">
        <v>0.38300000000000001</v>
      </c>
      <c r="Q142" s="5">
        <v>0.38300000000000001</v>
      </c>
      <c r="R142" s="5">
        <v>0.375</v>
      </c>
      <c r="S142" s="5">
        <v>0.33400000000000002</v>
      </c>
      <c r="T142" s="5">
        <v>0.27200000000000002</v>
      </c>
      <c r="U142" s="5">
        <v>0.08</v>
      </c>
      <c r="V142" s="5">
        <v>0.31900000000000001</v>
      </c>
      <c r="W142" t="s">
        <v>1320</v>
      </c>
      <c r="X142" t="s">
        <v>1321</v>
      </c>
      <c r="Y142" t="s">
        <v>1315</v>
      </c>
      <c r="Z142" t="s">
        <v>488</v>
      </c>
    </row>
    <row r="143" spans="1:26" x14ac:dyDescent="0.3">
      <c r="A143" t="s">
        <v>684</v>
      </c>
      <c r="B143" t="s">
        <v>250</v>
      </c>
      <c r="C143" t="s">
        <v>49</v>
      </c>
      <c r="D143" t="s">
        <v>490</v>
      </c>
      <c r="E143" t="s">
        <v>142</v>
      </c>
      <c r="F143" s="3">
        <v>10.46217</v>
      </c>
      <c r="G143" s="3">
        <v>-0.91188999999999998</v>
      </c>
      <c r="H143" s="5">
        <v>0.69</v>
      </c>
      <c r="I143" s="5">
        <v>0.33</v>
      </c>
      <c r="J143" s="5">
        <v>0.86</v>
      </c>
      <c r="K143" s="5">
        <v>0.189</v>
      </c>
      <c r="L143" s="5">
        <v>-0.77200000000000002</v>
      </c>
      <c r="M143" s="5">
        <v>1.0049999999999999</v>
      </c>
      <c r="N143" s="5">
        <v>0.67800000000000005</v>
      </c>
      <c r="O143" s="5">
        <v>0.85499999999999998</v>
      </c>
      <c r="P143" s="5">
        <v>0.67400000000000004</v>
      </c>
      <c r="Q143" s="5">
        <v>0.41399999999999998</v>
      </c>
      <c r="R143" s="5">
        <v>0.30199999999999999</v>
      </c>
      <c r="S143" s="5">
        <v>0.14699999999999999</v>
      </c>
      <c r="T143" s="5">
        <v>0.38700000000000001</v>
      </c>
      <c r="U143" s="5">
        <v>9.1999999999999998E-2</v>
      </c>
      <c r="V143" s="5">
        <v>0.51500000000000001</v>
      </c>
      <c r="W143" t="s">
        <v>1318</v>
      </c>
      <c r="X143" t="s">
        <v>1319</v>
      </c>
      <c r="Y143" t="s">
        <v>1314</v>
      </c>
      <c r="Z143" t="s">
        <v>488</v>
      </c>
    </row>
    <row r="144" spans="1:26" x14ac:dyDescent="0.3">
      <c r="A144" t="s">
        <v>685</v>
      </c>
      <c r="B144" t="s">
        <v>252</v>
      </c>
      <c r="C144" t="s">
        <v>49</v>
      </c>
      <c r="D144" t="s">
        <v>484</v>
      </c>
      <c r="E144" t="s">
        <v>75</v>
      </c>
      <c r="F144" s="3">
        <v>10.632250000000001</v>
      </c>
      <c r="G144" s="3">
        <v>-0.34134999999999999</v>
      </c>
      <c r="H144" s="5">
        <v>0.69899999999999995</v>
      </c>
      <c r="I144" s="5">
        <v>0.376</v>
      </c>
      <c r="J144" s="5">
        <v>-0.498</v>
      </c>
      <c r="K144" s="5">
        <v>0.56100000000000005</v>
      </c>
      <c r="L144" s="5">
        <v>-0.41399999999999998</v>
      </c>
      <c r="M144" s="5">
        <v>1.7350000000000001</v>
      </c>
      <c r="N144" s="5">
        <v>0.82</v>
      </c>
      <c r="O144" s="5">
        <v>0.52800000000000002</v>
      </c>
      <c r="P144" s="5">
        <v>0.41099999999999998</v>
      </c>
      <c r="Q144" s="5">
        <v>0.35699999999999998</v>
      </c>
      <c r="R144" s="5">
        <v>0.624</v>
      </c>
      <c r="S144" s="5">
        <v>0.43099999999999999</v>
      </c>
      <c r="T144" s="5">
        <v>0.46899999999999997</v>
      </c>
      <c r="U144" s="5">
        <v>0.20200000000000001</v>
      </c>
      <c r="V144" s="5">
        <v>0.34399999999999997</v>
      </c>
      <c r="W144" t="s">
        <v>1312</v>
      </c>
      <c r="X144" t="s">
        <v>1313</v>
      </c>
      <c r="Y144" t="s">
        <v>1314</v>
      </c>
      <c r="Z144" t="s">
        <v>488</v>
      </c>
    </row>
    <row r="145" spans="1:26" x14ac:dyDescent="0.3">
      <c r="A145" t="s">
        <v>686</v>
      </c>
      <c r="B145" t="s">
        <v>252</v>
      </c>
      <c r="C145" t="s">
        <v>49</v>
      </c>
      <c r="D145" t="s">
        <v>490</v>
      </c>
      <c r="E145" t="s">
        <v>75</v>
      </c>
      <c r="F145" s="3">
        <v>10.632250000000001</v>
      </c>
      <c r="G145" s="3">
        <v>-0.34134999999999999</v>
      </c>
      <c r="H145" s="5">
        <v>0.69899999999999995</v>
      </c>
      <c r="I145" s="5">
        <v>0.376</v>
      </c>
      <c r="J145" s="5">
        <v>1.2130000000000001</v>
      </c>
      <c r="K145" s="5">
        <v>0.627</v>
      </c>
      <c r="L145" s="5">
        <v>0.439</v>
      </c>
      <c r="M145" s="5">
        <v>1.228</v>
      </c>
      <c r="N145" s="5">
        <v>0.82099999999999995</v>
      </c>
      <c r="O145" s="5">
        <v>0.69399999999999995</v>
      </c>
      <c r="P145" s="5">
        <v>0.66700000000000004</v>
      </c>
      <c r="Q145" s="5">
        <v>0.45900000000000002</v>
      </c>
      <c r="R145" s="5">
        <v>0.57599999999999996</v>
      </c>
      <c r="S145" s="5">
        <v>0.35199999999999998</v>
      </c>
      <c r="T145" s="5">
        <v>0.48</v>
      </c>
      <c r="U145" s="5">
        <v>0.30299999999999999</v>
      </c>
      <c r="V145" s="5">
        <v>0.50900000000000001</v>
      </c>
      <c r="W145" t="s">
        <v>1318</v>
      </c>
      <c r="X145" t="s">
        <v>1319</v>
      </c>
      <c r="Y145" t="s">
        <v>1315</v>
      </c>
      <c r="Z145" t="s">
        <v>488</v>
      </c>
    </row>
    <row r="146" spans="1:26" x14ac:dyDescent="0.3">
      <c r="A146" t="s">
        <v>687</v>
      </c>
      <c r="B146" t="s">
        <v>254</v>
      </c>
      <c r="C146" t="s">
        <v>49</v>
      </c>
      <c r="D146" t="s">
        <v>484</v>
      </c>
      <c r="E146" t="s">
        <v>75</v>
      </c>
      <c r="F146" s="3">
        <v>9.5773100000000007</v>
      </c>
      <c r="G146" s="3">
        <v>-0.21844</v>
      </c>
      <c r="H146" s="5">
        <v>0.68</v>
      </c>
      <c r="I146" s="5">
        <v>0.48499999999999999</v>
      </c>
      <c r="J146" s="5">
        <v>-1.476</v>
      </c>
      <c r="K146" s="5">
        <v>-0.59499999999999997</v>
      </c>
      <c r="L146" s="5">
        <v>-0.38700000000000001</v>
      </c>
      <c r="M146" s="5">
        <v>1.524</v>
      </c>
      <c r="N146" s="5">
        <v>0.76</v>
      </c>
      <c r="O146" s="5">
        <v>0.58599999999999997</v>
      </c>
      <c r="P146" s="5">
        <v>0.35499999999999998</v>
      </c>
      <c r="Q146" s="5">
        <v>0.36299999999999999</v>
      </c>
      <c r="R146" s="5">
        <v>0.56100000000000005</v>
      </c>
      <c r="S146" s="5">
        <v>0.41399999999999998</v>
      </c>
      <c r="T146" s="5">
        <v>0.23300000000000001</v>
      </c>
      <c r="U146" s="5">
        <v>0.214</v>
      </c>
      <c r="V146" s="5">
        <v>0.29599999999999999</v>
      </c>
      <c r="W146" t="s">
        <v>1312</v>
      </c>
      <c r="X146" t="s">
        <v>1313</v>
      </c>
      <c r="Y146" t="s">
        <v>1314</v>
      </c>
      <c r="Z146" t="s">
        <v>488</v>
      </c>
    </row>
    <row r="147" spans="1:26" x14ac:dyDescent="0.3">
      <c r="A147" t="s">
        <v>688</v>
      </c>
      <c r="B147" t="s">
        <v>254</v>
      </c>
      <c r="C147" t="s">
        <v>49</v>
      </c>
      <c r="D147" t="s">
        <v>490</v>
      </c>
      <c r="E147" t="s">
        <v>75</v>
      </c>
      <c r="F147" s="3">
        <v>9.5773100000000007</v>
      </c>
      <c r="G147" s="3">
        <v>-0.21844</v>
      </c>
      <c r="H147" s="5">
        <v>0.68</v>
      </c>
      <c r="I147" s="5">
        <v>0.48499999999999999</v>
      </c>
      <c r="J147" s="5">
        <v>1.865</v>
      </c>
      <c r="K147" s="5">
        <v>-0.24</v>
      </c>
      <c r="L147" s="5">
        <v>-0.189</v>
      </c>
      <c r="M147" s="5">
        <v>1.39</v>
      </c>
      <c r="N147" s="5">
        <v>0.82499999999999996</v>
      </c>
      <c r="O147" s="5">
        <v>0.58599999999999997</v>
      </c>
      <c r="P147" s="5">
        <v>0.67500000000000004</v>
      </c>
      <c r="Q147" s="5">
        <v>0.45300000000000001</v>
      </c>
      <c r="R147" s="5">
        <v>0.628</v>
      </c>
      <c r="S147" s="5">
        <v>0.31</v>
      </c>
      <c r="T147" s="5">
        <v>0.29199999999999998</v>
      </c>
      <c r="U147" s="5">
        <v>0.23799999999999999</v>
      </c>
      <c r="V147" s="5">
        <v>0.52400000000000002</v>
      </c>
      <c r="W147" t="s">
        <v>1318</v>
      </c>
      <c r="X147" t="s">
        <v>1319</v>
      </c>
      <c r="Y147" t="s">
        <v>1315</v>
      </c>
      <c r="Z147" t="s">
        <v>488</v>
      </c>
    </row>
    <row r="148" spans="1:26" x14ac:dyDescent="0.3">
      <c r="A148" t="s">
        <v>689</v>
      </c>
      <c r="B148" t="s">
        <v>256</v>
      </c>
      <c r="C148" t="s">
        <v>49</v>
      </c>
      <c r="D148" t="s">
        <v>484</v>
      </c>
      <c r="E148" t="s">
        <v>75</v>
      </c>
      <c r="F148" s="3">
        <v>9.5930900000000001</v>
      </c>
      <c r="G148" s="3">
        <v>-0.92925000000000002</v>
      </c>
      <c r="H148" s="5">
        <v>0.68500000000000005</v>
      </c>
      <c r="I148" s="5">
        <v>0.46600000000000003</v>
      </c>
      <c r="J148" s="5">
        <v>-1.4</v>
      </c>
      <c r="K148" s="5">
        <v>-1.099</v>
      </c>
      <c r="L148" s="5">
        <v>-0.91</v>
      </c>
      <c r="M148" s="5">
        <v>1.5589999999999999</v>
      </c>
      <c r="N148" s="5">
        <v>0.88800000000000001</v>
      </c>
      <c r="O148" s="5">
        <v>0.48899999999999999</v>
      </c>
      <c r="P148" s="5">
        <v>0.34300000000000003</v>
      </c>
      <c r="Q148" s="5">
        <v>0.33200000000000002</v>
      </c>
      <c r="R148" s="5">
        <v>0.58899999999999997</v>
      </c>
      <c r="S148" s="5">
        <v>0.35199999999999998</v>
      </c>
      <c r="T148" s="5">
        <v>9.1999999999999998E-2</v>
      </c>
      <c r="U148" s="5">
        <v>9.1999999999999998E-2</v>
      </c>
      <c r="V148" s="5">
        <v>0.28499999999999998</v>
      </c>
      <c r="W148" t="s">
        <v>1312</v>
      </c>
      <c r="X148" t="s">
        <v>1313</v>
      </c>
      <c r="Y148" t="s">
        <v>1315</v>
      </c>
      <c r="Z148" t="s">
        <v>488</v>
      </c>
    </row>
    <row r="149" spans="1:26" x14ac:dyDescent="0.3">
      <c r="A149" t="s">
        <v>690</v>
      </c>
      <c r="B149" t="s">
        <v>256</v>
      </c>
      <c r="C149" t="s">
        <v>49</v>
      </c>
      <c r="D149" t="s">
        <v>490</v>
      </c>
      <c r="E149" t="s">
        <v>75</v>
      </c>
      <c r="F149" s="3">
        <v>9.5930900000000001</v>
      </c>
      <c r="G149" s="3">
        <v>-0.92925000000000002</v>
      </c>
      <c r="H149" s="5">
        <v>0.68500000000000005</v>
      </c>
      <c r="I149" s="5">
        <v>0.46600000000000003</v>
      </c>
      <c r="J149" s="5">
        <v>0.97699999999999998</v>
      </c>
      <c r="K149" s="5">
        <v>-0.99099999999999999</v>
      </c>
      <c r="L149" s="5">
        <v>-0.51400000000000001</v>
      </c>
      <c r="M149" s="5">
        <v>1.169</v>
      </c>
      <c r="N149" s="5">
        <v>0.81599999999999995</v>
      </c>
      <c r="O149" s="5">
        <v>0.74199999999999999</v>
      </c>
      <c r="P149" s="5">
        <v>0.65600000000000003</v>
      </c>
      <c r="Q149" s="5">
        <v>0.46100000000000002</v>
      </c>
      <c r="R149" s="5">
        <v>0.67600000000000005</v>
      </c>
      <c r="S149" s="5">
        <v>0.32100000000000001</v>
      </c>
      <c r="T149" s="5">
        <v>0.11</v>
      </c>
      <c r="U149" s="5">
        <v>0.13800000000000001</v>
      </c>
      <c r="V149" s="5">
        <v>0.502</v>
      </c>
      <c r="W149" t="s">
        <v>1318</v>
      </c>
      <c r="X149" t="s">
        <v>1319</v>
      </c>
      <c r="Y149" t="s">
        <v>1315</v>
      </c>
      <c r="Z149" t="s">
        <v>488</v>
      </c>
    </row>
    <row r="150" spans="1:26" x14ac:dyDescent="0.3">
      <c r="A150" t="s">
        <v>691</v>
      </c>
      <c r="B150" t="s">
        <v>258</v>
      </c>
      <c r="C150" t="s">
        <v>49</v>
      </c>
      <c r="D150" t="s">
        <v>484</v>
      </c>
      <c r="E150" t="s">
        <v>101</v>
      </c>
      <c r="F150" s="3">
        <v>9.9689399999999999</v>
      </c>
      <c r="G150" s="3">
        <v>-1.1572800000000001</v>
      </c>
      <c r="H150" s="5">
        <v>0.52500000000000002</v>
      </c>
      <c r="I150" s="5">
        <v>0.17399999999999999</v>
      </c>
      <c r="J150" s="5">
        <v>-1.143</v>
      </c>
      <c r="K150" s="5">
        <v>-0.14799999999999999</v>
      </c>
      <c r="L150" s="5">
        <v>-0.76800000000000002</v>
      </c>
      <c r="M150" s="5">
        <v>1.446</v>
      </c>
      <c r="N150" s="5">
        <v>0.88</v>
      </c>
      <c r="O150" s="5">
        <v>0.53600000000000003</v>
      </c>
      <c r="P150" s="5">
        <v>0.28999999999999998</v>
      </c>
      <c r="Q150" s="5">
        <v>0.72599999999999998</v>
      </c>
      <c r="R150" s="5">
        <v>0.28499999999999998</v>
      </c>
      <c r="S150" s="5">
        <v>0.32500000000000001</v>
      </c>
      <c r="T150" s="5">
        <v>0.311</v>
      </c>
      <c r="U150" s="5">
        <v>0.11899999999999999</v>
      </c>
      <c r="V150" s="5">
        <v>0.28000000000000003</v>
      </c>
      <c r="W150" t="s">
        <v>1312</v>
      </c>
      <c r="X150" t="s">
        <v>1313</v>
      </c>
      <c r="Y150" t="s">
        <v>1315</v>
      </c>
      <c r="Z150" t="s">
        <v>488</v>
      </c>
    </row>
    <row r="151" spans="1:26" x14ac:dyDescent="0.3">
      <c r="A151" t="s">
        <v>692</v>
      </c>
      <c r="B151" t="s">
        <v>258</v>
      </c>
      <c r="C151" t="s">
        <v>49</v>
      </c>
      <c r="D151" t="s">
        <v>490</v>
      </c>
      <c r="E151" t="s">
        <v>101</v>
      </c>
      <c r="F151" s="3">
        <v>9.9689399999999999</v>
      </c>
      <c r="G151" s="3">
        <v>-1.1572800000000001</v>
      </c>
      <c r="H151" s="5">
        <v>0.52500000000000002</v>
      </c>
      <c r="I151" s="5">
        <v>0.17399999999999999</v>
      </c>
      <c r="J151" s="5">
        <v>0.27100000000000002</v>
      </c>
      <c r="K151" s="5">
        <v>1.7999999999999999E-2</v>
      </c>
      <c r="L151" s="5">
        <v>-0.83199999999999996</v>
      </c>
      <c r="M151" s="5">
        <v>0.90600000000000003</v>
      </c>
      <c r="N151" s="5">
        <v>0.68100000000000005</v>
      </c>
      <c r="O151" s="5">
        <v>0.84599999999999997</v>
      </c>
      <c r="P151" s="5">
        <v>0.55700000000000005</v>
      </c>
      <c r="Q151" s="5">
        <v>0.624</v>
      </c>
      <c r="R151" s="5">
        <v>0.29199999999999998</v>
      </c>
      <c r="S151" s="5">
        <v>0.17</v>
      </c>
      <c r="T151" s="5">
        <v>0.33800000000000002</v>
      </c>
      <c r="U151" s="5">
        <v>0.111</v>
      </c>
      <c r="V151" s="5">
        <v>0.45300000000000001</v>
      </c>
      <c r="W151" t="s">
        <v>1312</v>
      </c>
      <c r="X151" t="s">
        <v>1313</v>
      </c>
      <c r="Y151" t="s">
        <v>1315</v>
      </c>
      <c r="Z151" t="s">
        <v>488</v>
      </c>
    </row>
    <row r="152" spans="1:26" x14ac:dyDescent="0.3">
      <c r="A152" t="s">
        <v>693</v>
      </c>
      <c r="B152" t="s">
        <v>260</v>
      </c>
      <c r="C152" t="s">
        <v>49</v>
      </c>
      <c r="D152" t="s">
        <v>484</v>
      </c>
      <c r="E152" t="s">
        <v>75</v>
      </c>
      <c r="F152" s="3">
        <v>10.562189999999999</v>
      </c>
      <c r="G152" s="3">
        <v>-0.16045000000000001</v>
      </c>
      <c r="H152" s="5">
        <v>0.63</v>
      </c>
      <c r="I152" s="5">
        <v>0.112</v>
      </c>
      <c r="J152" s="5">
        <v>-0.86299999999999999</v>
      </c>
      <c r="K152" s="5">
        <v>-0.93700000000000006</v>
      </c>
      <c r="L152" s="5">
        <v>-0.53800000000000003</v>
      </c>
      <c r="M152" s="5">
        <v>1.5740000000000001</v>
      </c>
      <c r="N152" s="5">
        <v>0.97399999999999998</v>
      </c>
      <c r="O152" s="5">
        <v>0.54400000000000004</v>
      </c>
      <c r="P152" s="5">
        <v>0.36</v>
      </c>
      <c r="Q152" s="5">
        <v>0.35499999999999998</v>
      </c>
      <c r="R152" s="5">
        <v>0.626</v>
      </c>
      <c r="S152" s="5">
        <v>0.39200000000000002</v>
      </c>
      <c r="T152" s="5">
        <v>0.17299999999999999</v>
      </c>
      <c r="U152" s="5">
        <v>0.16200000000000001</v>
      </c>
      <c r="V152" s="5">
        <v>0.315</v>
      </c>
      <c r="W152" t="s">
        <v>1312</v>
      </c>
      <c r="X152" t="s">
        <v>1313</v>
      </c>
      <c r="Y152" t="s">
        <v>1315</v>
      </c>
      <c r="Z152" t="s">
        <v>488</v>
      </c>
    </row>
    <row r="153" spans="1:26" x14ac:dyDescent="0.3">
      <c r="A153" t="s">
        <v>694</v>
      </c>
      <c r="B153" t="s">
        <v>260</v>
      </c>
      <c r="C153" t="s">
        <v>49</v>
      </c>
      <c r="D153" t="s">
        <v>490</v>
      </c>
      <c r="E153" t="s">
        <v>75</v>
      </c>
      <c r="F153" s="3">
        <v>10.562189999999999</v>
      </c>
      <c r="G153" s="3">
        <v>-0.16045000000000001</v>
      </c>
      <c r="H153" s="5">
        <v>0.63</v>
      </c>
      <c r="I153" s="5">
        <v>0.112</v>
      </c>
      <c r="J153" s="5">
        <v>0.79200000000000004</v>
      </c>
      <c r="K153" s="5">
        <v>-0.15</v>
      </c>
      <c r="L153" s="5">
        <v>-0.223</v>
      </c>
      <c r="M153" s="5">
        <v>1.1839999999999999</v>
      </c>
      <c r="N153" s="5">
        <v>0.69699999999999995</v>
      </c>
      <c r="O153" s="5">
        <v>0.73399999999999999</v>
      </c>
      <c r="P153" s="5">
        <v>0.61699999999999999</v>
      </c>
      <c r="Q153" s="5">
        <v>0.46300000000000002</v>
      </c>
      <c r="R153" s="5">
        <v>0.58499999999999996</v>
      </c>
      <c r="S153" s="5">
        <v>0.26100000000000001</v>
      </c>
      <c r="T153" s="5">
        <v>0.30399999999999999</v>
      </c>
      <c r="U153" s="5">
        <v>0.2</v>
      </c>
      <c r="V153" s="5">
        <v>0.48099999999999998</v>
      </c>
      <c r="W153" t="s">
        <v>1318</v>
      </c>
      <c r="X153" t="s">
        <v>1319</v>
      </c>
      <c r="Y153" t="s">
        <v>1315</v>
      </c>
      <c r="Z153" t="s">
        <v>488</v>
      </c>
    </row>
    <row r="154" spans="1:26" x14ac:dyDescent="0.3">
      <c r="A154" t="s">
        <v>695</v>
      </c>
      <c r="B154" t="s">
        <v>262</v>
      </c>
      <c r="C154" t="s">
        <v>49</v>
      </c>
      <c r="D154" t="s">
        <v>484</v>
      </c>
      <c r="E154" t="s">
        <v>75</v>
      </c>
      <c r="F154" s="3">
        <v>10.80536</v>
      </c>
      <c r="G154" s="3">
        <v>-0.75400999999999996</v>
      </c>
      <c r="H154" s="5">
        <v>0.622</v>
      </c>
      <c r="I154" s="5">
        <v>0.32900000000000001</v>
      </c>
      <c r="J154" s="5">
        <v>-0.58799999999999997</v>
      </c>
      <c r="K154" s="5">
        <v>-0.45400000000000001</v>
      </c>
      <c r="L154" s="5">
        <v>-0.76200000000000001</v>
      </c>
      <c r="M154" s="5">
        <v>1.379</v>
      </c>
      <c r="N154" s="5">
        <v>0.73399999999999999</v>
      </c>
      <c r="O154" s="5">
        <v>0.55600000000000005</v>
      </c>
      <c r="P154" s="5">
        <v>0.374</v>
      </c>
      <c r="Q154" s="5">
        <v>0.442</v>
      </c>
      <c r="R154" s="5">
        <v>0.61699999999999999</v>
      </c>
      <c r="S154" s="5">
        <v>0.28100000000000003</v>
      </c>
      <c r="T154" s="5">
        <v>0.28399999999999997</v>
      </c>
      <c r="U154" s="5">
        <v>0.19700000000000001</v>
      </c>
      <c r="V154" s="5">
        <v>0.33100000000000002</v>
      </c>
      <c r="W154" t="s">
        <v>1312</v>
      </c>
      <c r="X154" t="s">
        <v>1313</v>
      </c>
      <c r="Y154" t="s">
        <v>1315</v>
      </c>
      <c r="Z154" t="s">
        <v>488</v>
      </c>
    </row>
    <row r="155" spans="1:26" x14ac:dyDescent="0.3">
      <c r="A155" t="s">
        <v>696</v>
      </c>
      <c r="B155" t="s">
        <v>262</v>
      </c>
      <c r="C155" t="s">
        <v>49</v>
      </c>
      <c r="D155" t="s">
        <v>490</v>
      </c>
      <c r="E155" t="s">
        <v>75</v>
      </c>
      <c r="F155" s="3">
        <v>10.80536</v>
      </c>
      <c r="G155" s="3">
        <v>-0.75400999999999996</v>
      </c>
      <c r="H155" s="5">
        <v>0.622</v>
      </c>
      <c r="I155" s="5">
        <v>0.32900000000000001</v>
      </c>
      <c r="J155" s="5">
        <v>0.97799999999999998</v>
      </c>
      <c r="K155" s="5">
        <v>0.185</v>
      </c>
      <c r="L155" s="5">
        <v>5.5E-2</v>
      </c>
      <c r="M155" s="5">
        <v>1.335</v>
      </c>
      <c r="N155" s="5">
        <v>0.73</v>
      </c>
      <c r="O155" s="5">
        <v>0.66100000000000003</v>
      </c>
      <c r="P155" s="5">
        <v>0.60899999999999999</v>
      </c>
      <c r="Q155" s="5">
        <v>0.46200000000000002</v>
      </c>
      <c r="R155" s="5">
        <v>0.51900000000000002</v>
      </c>
      <c r="S155" s="5">
        <v>0.39900000000000002</v>
      </c>
      <c r="T155" s="5">
        <v>0.39</v>
      </c>
      <c r="U155" s="5">
        <v>0.29399999999999998</v>
      </c>
      <c r="V155" s="5">
        <v>0.47699999999999998</v>
      </c>
      <c r="W155" t="s">
        <v>1318</v>
      </c>
      <c r="X155" t="s">
        <v>1319</v>
      </c>
      <c r="Y155" t="s">
        <v>1315</v>
      </c>
      <c r="Z155" t="s">
        <v>488</v>
      </c>
    </row>
    <row r="156" spans="1:26" x14ac:dyDescent="0.3">
      <c r="A156" t="s">
        <v>697</v>
      </c>
      <c r="B156" t="s">
        <v>264</v>
      </c>
      <c r="C156" t="s">
        <v>49</v>
      </c>
      <c r="D156" t="s">
        <v>484</v>
      </c>
      <c r="E156" t="s">
        <v>75</v>
      </c>
      <c r="F156" s="3">
        <v>10.888809999999999</v>
      </c>
      <c r="G156" s="3">
        <v>-0.82587999999999995</v>
      </c>
      <c r="H156" s="5">
        <v>0.625</v>
      </c>
      <c r="I156" s="5">
        <v>0.16200000000000001</v>
      </c>
      <c r="J156" s="5">
        <v>0.193</v>
      </c>
      <c r="K156" s="5">
        <v>-0.317</v>
      </c>
      <c r="L156" s="5">
        <v>-0.67800000000000005</v>
      </c>
      <c r="M156" s="5">
        <v>1.6419999999999999</v>
      </c>
      <c r="N156" s="5">
        <v>0.86199999999999999</v>
      </c>
      <c r="O156" s="5">
        <v>0.53400000000000003</v>
      </c>
      <c r="P156" s="5">
        <v>0.41799999999999998</v>
      </c>
      <c r="Q156" s="5">
        <v>0.45600000000000002</v>
      </c>
      <c r="R156" s="5">
        <v>0.60399999999999998</v>
      </c>
      <c r="S156" s="5">
        <v>0.41599999999999998</v>
      </c>
      <c r="T156" s="5">
        <v>0.29599999999999999</v>
      </c>
      <c r="U156" s="5">
        <v>0.13300000000000001</v>
      </c>
      <c r="V156" s="5">
        <v>0.371</v>
      </c>
      <c r="W156" t="s">
        <v>1312</v>
      </c>
      <c r="X156" t="s">
        <v>1313</v>
      </c>
      <c r="Y156" t="s">
        <v>1315</v>
      </c>
      <c r="Z156" t="s">
        <v>488</v>
      </c>
    </row>
    <row r="157" spans="1:26" x14ac:dyDescent="0.3">
      <c r="A157" t="s">
        <v>698</v>
      </c>
      <c r="B157" t="s">
        <v>264</v>
      </c>
      <c r="C157" t="s">
        <v>49</v>
      </c>
      <c r="D157" t="s">
        <v>490</v>
      </c>
      <c r="E157" t="s">
        <v>75</v>
      </c>
      <c r="F157" s="3">
        <v>10.888809999999999</v>
      </c>
      <c r="G157" s="3">
        <v>-0.82587999999999995</v>
      </c>
      <c r="H157" s="5">
        <v>0.625</v>
      </c>
      <c r="I157" s="5">
        <v>0.16200000000000001</v>
      </c>
      <c r="J157" s="5">
        <v>0.51900000000000002</v>
      </c>
      <c r="K157" s="5">
        <v>-0.51100000000000001</v>
      </c>
      <c r="L157" s="5">
        <v>0.39300000000000002</v>
      </c>
      <c r="M157" s="5">
        <v>1.306</v>
      </c>
      <c r="N157" s="5">
        <v>0.82599999999999996</v>
      </c>
      <c r="O157" s="5">
        <v>0.59599999999999997</v>
      </c>
      <c r="P157" s="5">
        <v>0.56999999999999995</v>
      </c>
      <c r="Q157" s="5">
        <v>0.433</v>
      </c>
      <c r="R157" s="5">
        <v>0.60599999999999998</v>
      </c>
      <c r="S157" s="5">
        <v>0.36699999999999999</v>
      </c>
      <c r="T157" s="5">
        <v>0.26400000000000001</v>
      </c>
      <c r="U157" s="5">
        <v>0.26</v>
      </c>
      <c r="V157" s="5">
        <v>0.441</v>
      </c>
      <c r="W157" t="s">
        <v>1312</v>
      </c>
      <c r="X157" t="s">
        <v>1313</v>
      </c>
      <c r="Y157" t="s">
        <v>1315</v>
      </c>
      <c r="Z157" t="s">
        <v>488</v>
      </c>
    </row>
    <row r="158" spans="1:26" x14ac:dyDescent="0.3">
      <c r="A158" t="s">
        <v>699</v>
      </c>
      <c r="B158" t="s">
        <v>266</v>
      </c>
      <c r="C158" t="s">
        <v>49</v>
      </c>
      <c r="D158" t="s">
        <v>484</v>
      </c>
      <c r="E158" t="s">
        <v>101</v>
      </c>
      <c r="F158" s="3">
        <v>10.71062</v>
      </c>
      <c r="G158" s="3">
        <v>-0.63475999999999999</v>
      </c>
      <c r="H158" s="5">
        <v>0.66500000000000004</v>
      </c>
      <c r="I158" s="5">
        <v>0.29799999999999999</v>
      </c>
      <c r="J158" s="5">
        <v>-0.96799999999999997</v>
      </c>
      <c r="K158" s="5">
        <v>-0.871</v>
      </c>
      <c r="L158" s="5">
        <v>-0.52400000000000002</v>
      </c>
      <c r="M158" s="5">
        <v>1.254</v>
      </c>
      <c r="N158" s="5">
        <v>0.86899999999999999</v>
      </c>
      <c r="O158" s="5">
        <v>0.63</v>
      </c>
      <c r="P158" s="5">
        <v>0.38700000000000001</v>
      </c>
      <c r="Q158" s="5">
        <v>0.63700000000000001</v>
      </c>
      <c r="R158" s="5">
        <v>0.32100000000000001</v>
      </c>
      <c r="S158" s="5">
        <v>0.246</v>
      </c>
      <c r="T158" s="5">
        <v>0.191</v>
      </c>
      <c r="U158" s="5">
        <v>0.24099999999999999</v>
      </c>
      <c r="V158" s="5">
        <v>0.32900000000000001</v>
      </c>
      <c r="W158" t="s">
        <v>1312</v>
      </c>
      <c r="X158" t="s">
        <v>1313</v>
      </c>
      <c r="Y158" t="s">
        <v>1314</v>
      </c>
      <c r="Z158" t="s">
        <v>488</v>
      </c>
    </row>
    <row r="159" spans="1:26" x14ac:dyDescent="0.3">
      <c r="A159" t="s">
        <v>700</v>
      </c>
      <c r="B159" t="s">
        <v>266</v>
      </c>
      <c r="C159" t="s">
        <v>49</v>
      </c>
      <c r="D159" t="s">
        <v>490</v>
      </c>
      <c r="E159" t="s">
        <v>101</v>
      </c>
      <c r="F159" s="3">
        <v>10.71062</v>
      </c>
      <c r="G159" s="3">
        <v>-0.63475999999999999</v>
      </c>
      <c r="H159" s="5">
        <v>0.66500000000000004</v>
      </c>
      <c r="I159" s="5">
        <v>0.29799999999999999</v>
      </c>
      <c r="J159" s="5">
        <v>-0.69199999999999995</v>
      </c>
      <c r="K159" s="5">
        <v>-0.77</v>
      </c>
      <c r="L159" s="5">
        <v>0.16200000000000001</v>
      </c>
      <c r="M159" s="5">
        <v>0.96399999999999997</v>
      </c>
      <c r="N159" s="5">
        <v>0.72899999999999998</v>
      </c>
      <c r="O159" s="5">
        <v>0.79</v>
      </c>
      <c r="P159" s="5">
        <v>0.55600000000000005</v>
      </c>
      <c r="Q159" s="5">
        <v>0.64200000000000002</v>
      </c>
      <c r="R159" s="5">
        <v>0.29499999999999998</v>
      </c>
      <c r="S159" s="5">
        <v>0.187</v>
      </c>
      <c r="T159" s="5">
        <v>0.20799999999999999</v>
      </c>
      <c r="U159" s="5">
        <v>0.32300000000000001</v>
      </c>
      <c r="V159" s="5">
        <v>0.41399999999999998</v>
      </c>
      <c r="W159" t="s">
        <v>1312</v>
      </c>
      <c r="X159" t="s">
        <v>1313</v>
      </c>
      <c r="Y159" t="s">
        <v>1314</v>
      </c>
      <c r="Z159" t="s">
        <v>488</v>
      </c>
    </row>
    <row r="160" spans="1:26" x14ac:dyDescent="0.3">
      <c r="A160" t="s">
        <v>701</v>
      </c>
      <c r="B160" t="s">
        <v>268</v>
      </c>
      <c r="C160" t="s">
        <v>49</v>
      </c>
      <c r="D160" t="s">
        <v>484</v>
      </c>
      <c r="E160" t="s">
        <v>75</v>
      </c>
      <c r="F160" s="3">
        <v>10.31639</v>
      </c>
      <c r="G160" s="3">
        <v>-0.44688</v>
      </c>
      <c r="H160" s="5">
        <v>0.65400000000000003</v>
      </c>
      <c r="I160" s="5">
        <v>0.28599999999999998</v>
      </c>
      <c r="J160" s="5">
        <v>-0.51300000000000001</v>
      </c>
      <c r="K160" s="5">
        <v>0.55300000000000005</v>
      </c>
      <c r="L160" s="5">
        <v>-0.41699999999999998</v>
      </c>
      <c r="M160" s="5">
        <v>1.2190000000000001</v>
      </c>
      <c r="N160" s="5">
        <v>0.70299999999999996</v>
      </c>
      <c r="O160" s="5">
        <v>0.69799999999999995</v>
      </c>
      <c r="P160" s="5">
        <v>0.42299999999999999</v>
      </c>
      <c r="Q160" s="5">
        <v>0.33800000000000002</v>
      </c>
      <c r="R160" s="5">
        <v>0.67900000000000005</v>
      </c>
      <c r="S160" s="5">
        <v>0.32200000000000001</v>
      </c>
      <c r="T160" s="5">
        <v>0.48899999999999999</v>
      </c>
      <c r="U160" s="5">
        <v>0.20200000000000001</v>
      </c>
      <c r="V160" s="5">
        <v>0.36399999999999999</v>
      </c>
      <c r="W160" t="s">
        <v>1312</v>
      </c>
      <c r="X160" t="s">
        <v>1313</v>
      </c>
      <c r="Y160" t="s">
        <v>1315</v>
      </c>
      <c r="Z160" t="s">
        <v>488</v>
      </c>
    </row>
    <row r="161" spans="1:26" x14ac:dyDescent="0.3">
      <c r="A161" t="s">
        <v>702</v>
      </c>
      <c r="B161" t="s">
        <v>268</v>
      </c>
      <c r="C161" t="s">
        <v>49</v>
      </c>
      <c r="D161" t="s">
        <v>490</v>
      </c>
      <c r="E161" t="s">
        <v>75</v>
      </c>
      <c r="F161" s="3">
        <v>10.31639</v>
      </c>
      <c r="G161" s="3">
        <v>-0.44688</v>
      </c>
      <c r="H161" s="5">
        <v>0.65400000000000003</v>
      </c>
      <c r="I161" s="5">
        <v>0.28599999999999998</v>
      </c>
      <c r="J161" s="5">
        <v>3.089</v>
      </c>
      <c r="K161" s="5">
        <v>1.1830000000000001</v>
      </c>
      <c r="L161" s="5">
        <v>-0.308</v>
      </c>
      <c r="M161" s="5">
        <v>1.403</v>
      </c>
      <c r="N161" s="5">
        <v>0.73799999999999999</v>
      </c>
      <c r="O161" s="5">
        <v>0.67</v>
      </c>
      <c r="P161" s="5">
        <v>0.753</v>
      </c>
      <c r="Q161" s="5">
        <v>0.49199999999999999</v>
      </c>
      <c r="R161" s="5">
        <v>0.58399999999999996</v>
      </c>
      <c r="S161" s="5">
        <v>0.32900000000000001</v>
      </c>
      <c r="T161" s="5">
        <v>0.59399999999999997</v>
      </c>
      <c r="U161" s="5">
        <v>0.215</v>
      </c>
      <c r="V161" s="5">
        <v>0.60099999999999998</v>
      </c>
      <c r="W161" t="s">
        <v>1318</v>
      </c>
      <c r="X161" t="s">
        <v>1319</v>
      </c>
      <c r="Y161" t="s">
        <v>1315</v>
      </c>
      <c r="Z161" t="s">
        <v>488</v>
      </c>
    </row>
    <row r="162" spans="1:26" x14ac:dyDescent="0.3">
      <c r="A162" t="s">
        <v>703</v>
      </c>
      <c r="B162" t="s">
        <v>270</v>
      </c>
      <c r="C162" t="s">
        <v>32</v>
      </c>
      <c r="D162" t="s">
        <v>484</v>
      </c>
      <c r="E162" t="s">
        <v>101</v>
      </c>
      <c r="F162" s="3">
        <v>10.74493</v>
      </c>
      <c r="G162" s="3">
        <v>-0.36148999999999998</v>
      </c>
      <c r="H162" s="5">
        <v>0.80800000000000005</v>
      </c>
      <c r="I162" s="5">
        <v>0.45500000000000002</v>
      </c>
      <c r="J162" s="5">
        <v>-8.6999999999999994E-2</v>
      </c>
      <c r="K162" s="5">
        <v>-7.2999999999999995E-2</v>
      </c>
      <c r="L162" s="5">
        <v>0.40799999999999997</v>
      </c>
      <c r="M162" s="5">
        <v>1.101</v>
      </c>
      <c r="N162" s="5">
        <v>0.86299999999999999</v>
      </c>
      <c r="O162" s="5">
        <v>0.55200000000000005</v>
      </c>
      <c r="P162" s="5">
        <v>0.49299999999999999</v>
      </c>
      <c r="Q162" s="5">
        <v>0.84499999999999997</v>
      </c>
      <c r="R162" s="5">
        <v>0.23499999999999999</v>
      </c>
      <c r="S162" s="5">
        <v>0.23300000000000001</v>
      </c>
      <c r="T162" s="5">
        <v>0.309</v>
      </c>
      <c r="U162" s="5">
        <v>0.38700000000000001</v>
      </c>
      <c r="V162" s="5">
        <v>0.38900000000000001</v>
      </c>
      <c r="W162" t="s">
        <v>1312</v>
      </c>
      <c r="X162" t="s">
        <v>1313</v>
      </c>
      <c r="Y162" t="s">
        <v>1315</v>
      </c>
      <c r="Z162" t="s">
        <v>488</v>
      </c>
    </row>
    <row r="163" spans="1:26" x14ac:dyDescent="0.3">
      <c r="A163" t="s">
        <v>704</v>
      </c>
      <c r="B163" t="s">
        <v>270</v>
      </c>
      <c r="C163" t="s">
        <v>32</v>
      </c>
      <c r="D163" t="s">
        <v>490</v>
      </c>
      <c r="E163" t="s">
        <v>101</v>
      </c>
      <c r="F163" s="3">
        <v>10.74493</v>
      </c>
      <c r="G163" s="3">
        <v>-0.36148999999999998</v>
      </c>
      <c r="H163" s="5">
        <v>0.80800000000000005</v>
      </c>
      <c r="I163" s="5">
        <v>0.45500000000000002</v>
      </c>
      <c r="J163" s="5">
        <v>0.69699999999999995</v>
      </c>
      <c r="K163" s="5">
        <v>-0.30299999999999999</v>
      </c>
      <c r="L163" s="5">
        <v>1.0529999999999999</v>
      </c>
      <c r="M163" s="5">
        <v>1.018</v>
      </c>
      <c r="N163" s="5">
        <v>0.68700000000000006</v>
      </c>
      <c r="O163" s="5">
        <v>0.745</v>
      </c>
      <c r="P163" s="5">
        <v>0.69899999999999995</v>
      </c>
      <c r="Q163" s="5">
        <v>0.72899999999999998</v>
      </c>
      <c r="R163" s="5">
        <v>0.251</v>
      </c>
      <c r="S163" s="5">
        <v>0.182</v>
      </c>
      <c r="T163" s="5">
        <v>0.27100000000000002</v>
      </c>
      <c r="U163" s="5">
        <v>0.46300000000000002</v>
      </c>
      <c r="V163" s="5">
        <v>0.50700000000000001</v>
      </c>
      <c r="W163" t="s">
        <v>1318</v>
      </c>
      <c r="X163" t="s">
        <v>1319</v>
      </c>
      <c r="Y163" t="s">
        <v>1314</v>
      </c>
      <c r="Z163" t="s">
        <v>488</v>
      </c>
    </row>
    <row r="164" spans="1:26" x14ac:dyDescent="0.3">
      <c r="A164" t="s">
        <v>705</v>
      </c>
      <c r="B164" t="s">
        <v>274</v>
      </c>
      <c r="C164" t="s">
        <v>32</v>
      </c>
      <c r="D164" t="s">
        <v>484</v>
      </c>
      <c r="E164" t="s">
        <v>277</v>
      </c>
      <c r="F164" s="3">
        <v>10.81127</v>
      </c>
      <c r="G164" s="3">
        <v>-0.93730999999999998</v>
      </c>
      <c r="H164" s="5">
        <v>0.78400000000000003</v>
      </c>
      <c r="I164" s="5">
        <v>0.42099999999999999</v>
      </c>
      <c r="J164" s="5">
        <v>-1.5089999999999999</v>
      </c>
      <c r="K164" s="5">
        <v>-0.56699999999999995</v>
      </c>
      <c r="L164" s="5">
        <v>1.7390000000000001</v>
      </c>
      <c r="M164" s="5">
        <v>1.0940000000000001</v>
      </c>
      <c r="N164" s="5">
        <v>0.72499999999999998</v>
      </c>
      <c r="O164" s="5">
        <v>0.79500000000000004</v>
      </c>
      <c r="P164" s="5">
        <v>0.44500000000000001</v>
      </c>
      <c r="Q164" s="5">
        <v>0.69899999999999995</v>
      </c>
      <c r="R164" s="5">
        <v>0.249</v>
      </c>
      <c r="S164" s="5">
        <v>0.36199999999999999</v>
      </c>
      <c r="T164" s="5">
        <v>0.254</v>
      </c>
      <c r="U164" s="5">
        <v>0.59699999999999998</v>
      </c>
      <c r="V164" s="5">
        <v>0.34799999999999998</v>
      </c>
      <c r="W164" t="s">
        <v>1322</v>
      </c>
      <c r="X164" t="s">
        <v>1323</v>
      </c>
      <c r="Y164" t="s">
        <v>1315</v>
      </c>
      <c r="Z164" t="s">
        <v>488</v>
      </c>
    </row>
    <row r="165" spans="1:26" x14ac:dyDescent="0.3">
      <c r="A165" t="s">
        <v>706</v>
      </c>
      <c r="B165" t="s">
        <v>274</v>
      </c>
      <c r="C165" t="s">
        <v>32</v>
      </c>
      <c r="D165" t="s">
        <v>490</v>
      </c>
      <c r="E165" t="s">
        <v>277</v>
      </c>
      <c r="F165" s="3">
        <v>10.81127</v>
      </c>
      <c r="G165" s="3">
        <v>-0.93730999999999998</v>
      </c>
      <c r="H165" s="5">
        <v>0.78400000000000003</v>
      </c>
      <c r="I165" s="5">
        <v>0.42099999999999999</v>
      </c>
      <c r="J165" s="5">
        <v>1.4850000000000001</v>
      </c>
      <c r="K165" s="5">
        <v>-4.2999999999999997E-2</v>
      </c>
      <c r="L165" s="5">
        <v>2.81</v>
      </c>
      <c r="M165" s="5">
        <v>0.97599999999999998</v>
      </c>
      <c r="N165" s="5">
        <v>0.73499999999999999</v>
      </c>
      <c r="O165" s="5">
        <v>0.751</v>
      </c>
      <c r="P165" s="5">
        <v>0.73599999999999999</v>
      </c>
      <c r="Q165" s="5">
        <v>0.70599999999999996</v>
      </c>
      <c r="R165" s="5">
        <v>0.29899999999999999</v>
      </c>
      <c r="S165" s="5">
        <v>0.34799999999999998</v>
      </c>
      <c r="T165" s="5">
        <v>0.34100000000000003</v>
      </c>
      <c r="U165" s="5">
        <v>0.72299999999999998</v>
      </c>
      <c r="V165" s="5">
        <v>0.54800000000000004</v>
      </c>
      <c r="W165" t="s">
        <v>1322</v>
      </c>
      <c r="X165" t="s">
        <v>1323</v>
      </c>
      <c r="Y165" t="s">
        <v>1314</v>
      </c>
      <c r="Z165" t="s">
        <v>488</v>
      </c>
    </row>
    <row r="166" spans="1:26" x14ac:dyDescent="0.3">
      <c r="A166" t="s">
        <v>707</v>
      </c>
      <c r="B166" t="s">
        <v>281</v>
      </c>
      <c r="C166" t="s">
        <v>32</v>
      </c>
      <c r="D166" t="s">
        <v>484</v>
      </c>
      <c r="E166" t="s">
        <v>277</v>
      </c>
      <c r="F166" s="3">
        <v>10.759880000000001</v>
      </c>
      <c r="G166" s="3">
        <v>-0.71777000000000002</v>
      </c>
      <c r="H166" s="5">
        <v>0.79200000000000004</v>
      </c>
      <c r="I166" s="5">
        <v>0.56200000000000006</v>
      </c>
      <c r="J166" s="5">
        <v>-1.02</v>
      </c>
      <c r="K166" s="5">
        <v>-0.61799999999999999</v>
      </c>
      <c r="L166" s="5">
        <v>0.78400000000000003</v>
      </c>
      <c r="M166" s="5">
        <v>1.4630000000000001</v>
      </c>
      <c r="N166" s="5">
        <v>0.86199999999999999</v>
      </c>
      <c r="O166" s="5">
        <v>0.753</v>
      </c>
      <c r="P166" s="5">
        <v>0.47</v>
      </c>
      <c r="Q166" s="5">
        <v>0.66400000000000003</v>
      </c>
      <c r="R166" s="5">
        <v>0.34799999999999998</v>
      </c>
      <c r="S166" s="5">
        <v>0.36199999999999999</v>
      </c>
      <c r="T166" s="5">
        <v>0.252</v>
      </c>
      <c r="U166" s="5">
        <v>0.502</v>
      </c>
      <c r="V166" s="5">
        <v>0.36899999999999999</v>
      </c>
      <c r="W166" t="s">
        <v>1312</v>
      </c>
      <c r="X166" t="s">
        <v>1313</v>
      </c>
      <c r="Y166" t="s">
        <v>1314</v>
      </c>
      <c r="Z166" t="s">
        <v>488</v>
      </c>
    </row>
    <row r="167" spans="1:26" x14ac:dyDescent="0.3">
      <c r="A167" t="s">
        <v>708</v>
      </c>
      <c r="B167" t="s">
        <v>281</v>
      </c>
      <c r="C167" t="s">
        <v>32</v>
      </c>
      <c r="D167" t="s">
        <v>490</v>
      </c>
      <c r="E167" t="s">
        <v>277</v>
      </c>
      <c r="F167" s="3">
        <v>10.759880000000001</v>
      </c>
      <c r="G167" s="3">
        <v>-0.71777000000000002</v>
      </c>
      <c r="H167" s="5">
        <v>0.79200000000000004</v>
      </c>
      <c r="I167" s="5">
        <v>0.56200000000000006</v>
      </c>
      <c r="J167" s="5">
        <v>0.38900000000000001</v>
      </c>
      <c r="K167" s="5">
        <v>-0.68899999999999995</v>
      </c>
      <c r="L167" s="5">
        <v>3.6930000000000001</v>
      </c>
      <c r="M167" s="5">
        <v>1.0449999999999999</v>
      </c>
      <c r="N167" s="5">
        <v>0.81899999999999995</v>
      </c>
      <c r="O167" s="5">
        <v>0.88200000000000001</v>
      </c>
      <c r="P167" s="5">
        <v>0.7</v>
      </c>
      <c r="Q167" s="5">
        <v>0.72499999999999998</v>
      </c>
      <c r="R167" s="5">
        <v>0.247</v>
      </c>
      <c r="S167" s="5">
        <v>0.26500000000000001</v>
      </c>
      <c r="T167" s="5">
        <v>0.24</v>
      </c>
      <c r="U167" s="5">
        <v>0.84499999999999997</v>
      </c>
      <c r="V167" s="5">
        <v>0.51100000000000001</v>
      </c>
      <c r="W167" t="s">
        <v>1322</v>
      </c>
      <c r="X167" t="s">
        <v>1323</v>
      </c>
      <c r="Y167" t="s">
        <v>1315</v>
      </c>
      <c r="Z167" t="s">
        <v>488</v>
      </c>
    </row>
    <row r="168" spans="1:26" x14ac:dyDescent="0.3">
      <c r="A168" t="s">
        <v>709</v>
      </c>
      <c r="B168" t="s">
        <v>284</v>
      </c>
      <c r="C168" t="s">
        <v>32</v>
      </c>
      <c r="D168" t="s">
        <v>484</v>
      </c>
      <c r="E168" t="s">
        <v>101</v>
      </c>
      <c r="F168" s="3">
        <v>10.821199999999999</v>
      </c>
      <c r="G168" s="3">
        <v>-0.14849999999999999</v>
      </c>
      <c r="H168" s="5">
        <v>0.77900000000000003</v>
      </c>
      <c r="I168" s="5">
        <v>0.34599999999999997</v>
      </c>
      <c r="J168" s="5">
        <v>0.64200000000000002</v>
      </c>
      <c r="K168" s="5">
        <v>0.60599999999999998</v>
      </c>
      <c r="L168" s="5">
        <v>0.53200000000000003</v>
      </c>
      <c r="M168" s="5">
        <v>1.3879999999999999</v>
      </c>
      <c r="N168" s="5">
        <v>0.80700000000000005</v>
      </c>
      <c r="O168" s="5">
        <v>0.60599999999999998</v>
      </c>
      <c r="P168" s="5">
        <v>0.53400000000000003</v>
      </c>
      <c r="Q168" s="5">
        <v>0.68899999999999995</v>
      </c>
      <c r="R168" s="5">
        <v>0.42499999999999999</v>
      </c>
      <c r="S168" s="5">
        <v>0.35899999999999999</v>
      </c>
      <c r="T168" s="5">
        <v>0.49299999999999999</v>
      </c>
      <c r="U168" s="5">
        <v>0.40400000000000003</v>
      </c>
      <c r="V168" s="5">
        <v>0.434</v>
      </c>
      <c r="W168" t="s">
        <v>1312</v>
      </c>
      <c r="X168" t="s">
        <v>1313</v>
      </c>
      <c r="Y168" t="s">
        <v>1315</v>
      </c>
      <c r="Z168" t="s">
        <v>488</v>
      </c>
    </row>
    <row r="169" spans="1:26" x14ac:dyDescent="0.3">
      <c r="A169" t="s">
        <v>710</v>
      </c>
      <c r="B169" t="s">
        <v>284</v>
      </c>
      <c r="C169" t="s">
        <v>32</v>
      </c>
      <c r="D169" t="s">
        <v>490</v>
      </c>
      <c r="E169" t="s">
        <v>101</v>
      </c>
      <c r="F169" s="3">
        <v>10.821199999999999</v>
      </c>
      <c r="G169" s="3">
        <v>-0.14849999999999999</v>
      </c>
      <c r="H169" s="5">
        <v>0.77900000000000003</v>
      </c>
      <c r="I169" s="5">
        <v>0.34599999999999997</v>
      </c>
      <c r="J169" s="5">
        <v>2.4689999999999999</v>
      </c>
      <c r="K169" s="5">
        <v>1.341</v>
      </c>
      <c r="L169" s="5">
        <v>2.093</v>
      </c>
      <c r="M169" s="5">
        <v>1.1519999999999999</v>
      </c>
      <c r="N169" s="5">
        <v>0.82</v>
      </c>
      <c r="O169" s="5">
        <v>0.68700000000000006</v>
      </c>
      <c r="P169" s="5">
        <v>0.78</v>
      </c>
      <c r="Q169" s="5">
        <v>0.749</v>
      </c>
      <c r="R169" s="5">
        <v>0.30399999999999999</v>
      </c>
      <c r="S169" s="5">
        <v>0.28599999999999998</v>
      </c>
      <c r="T169" s="5">
        <v>0.61499999999999999</v>
      </c>
      <c r="U169" s="5">
        <v>0.58899999999999997</v>
      </c>
      <c r="V169" s="5">
        <v>0.59099999999999997</v>
      </c>
      <c r="W169" t="s">
        <v>1316</v>
      </c>
      <c r="X169" t="s">
        <v>1317</v>
      </c>
      <c r="Y169" t="s">
        <v>1315</v>
      </c>
      <c r="Z169" t="s">
        <v>488</v>
      </c>
    </row>
    <row r="170" spans="1:26" x14ac:dyDescent="0.3">
      <c r="A170" t="s">
        <v>711</v>
      </c>
      <c r="B170" t="s">
        <v>286</v>
      </c>
      <c r="C170" t="s">
        <v>32</v>
      </c>
      <c r="D170" t="s">
        <v>484</v>
      </c>
      <c r="E170" t="s">
        <v>142</v>
      </c>
      <c r="F170" s="3">
        <v>10.58724</v>
      </c>
      <c r="G170" s="3">
        <v>-1.1029199999999999</v>
      </c>
      <c r="H170" s="5">
        <v>0.81899999999999995</v>
      </c>
      <c r="I170" s="5">
        <v>0.45400000000000001</v>
      </c>
      <c r="J170" s="5">
        <v>-0.90600000000000003</v>
      </c>
      <c r="K170" s="5">
        <v>-0.224</v>
      </c>
      <c r="L170" s="5">
        <v>0.30599999999999999</v>
      </c>
      <c r="M170" s="5">
        <v>1.4630000000000001</v>
      </c>
      <c r="N170" s="5">
        <v>0.84</v>
      </c>
      <c r="O170" s="5">
        <v>0.61599999999999999</v>
      </c>
      <c r="P170" s="5">
        <v>0.46200000000000002</v>
      </c>
      <c r="Q170" s="5">
        <v>0.34</v>
      </c>
      <c r="R170" s="5">
        <v>0.28199999999999997</v>
      </c>
      <c r="S170" s="5">
        <v>0.35099999999999998</v>
      </c>
      <c r="T170" s="5">
        <v>0.313</v>
      </c>
      <c r="U170" s="5">
        <v>0.40699999999999997</v>
      </c>
      <c r="V170" s="5">
        <v>0.35599999999999998</v>
      </c>
      <c r="W170" t="s">
        <v>1322</v>
      </c>
      <c r="X170" t="s">
        <v>1323</v>
      </c>
      <c r="Y170" t="s">
        <v>1314</v>
      </c>
      <c r="Z170" t="s">
        <v>488</v>
      </c>
    </row>
    <row r="171" spans="1:26" x14ac:dyDescent="0.3">
      <c r="A171" t="s">
        <v>712</v>
      </c>
      <c r="B171" t="s">
        <v>286</v>
      </c>
      <c r="C171" t="s">
        <v>32</v>
      </c>
      <c r="D171" t="s">
        <v>490</v>
      </c>
      <c r="E171" t="s">
        <v>142</v>
      </c>
      <c r="F171" s="3">
        <v>10.58724</v>
      </c>
      <c r="G171" s="3">
        <v>-1.1029199999999999</v>
      </c>
      <c r="H171" s="5">
        <v>0.81899999999999995</v>
      </c>
      <c r="I171" s="5">
        <v>0.45400000000000001</v>
      </c>
      <c r="J171" s="5">
        <v>2.3410000000000002</v>
      </c>
      <c r="K171" s="5">
        <v>0.23</v>
      </c>
      <c r="L171" s="5">
        <v>1.8129999999999999</v>
      </c>
      <c r="M171" s="5">
        <v>1.113</v>
      </c>
      <c r="N171" s="5">
        <v>0.82799999999999996</v>
      </c>
      <c r="O171" s="5">
        <v>0.85899999999999999</v>
      </c>
      <c r="P171" s="5">
        <v>0.82499999999999996</v>
      </c>
      <c r="Q171" s="5">
        <v>0.46300000000000002</v>
      </c>
      <c r="R171" s="5">
        <v>0.32700000000000001</v>
      </c>
      <c r="S171" s="5">
        <v>0.308</v>
      </c>
      <c r="T171" s="5">
        <v>0.38900000000000001</v>
      </c>
      <c r="U171" s="5">
        <v>0.58499999999999996</v>
      </c>
      <c r="V171" s="5">
        <v>0.62</v>
      </c>
      <c r="W171" t="s">
        <v>1318</v>
      </c>
      <c r="X171" t="s">
        <v>1319</v>
      </c>
      <c r="Y171" t="s">
        <v>1315</v>
      </c>
      <c r="Z171" t="s">
        <v>488</v>
      </c>
    </row>
    <row r="172" spans="1:26" x14ac:dyDescent="0.3">
      <c r="A172" t="s">
        <v>713</v>
      </c>
      <c r="B172" t="s">
        <v>289</v>
      </c>
      <c r="C172" t="s">
        <v>32</v>
      </c>
      <c r="D172" t="s">
        <v>484</v>
      </c>
      <c r="E172" t="s">
        <v>277</v>
      </c>
      <c r="F172" s="3">
        <v>10.462910000000001</v>
      </c>
      <c r="G172" s="3">
        <v>-0.94267000000000001</v>
      </c>
      <c r="H172" s="5">
        <v>0.79</v>
      </c>
      <c r="I172" s="5">
        <v>0.05</v>
      </c>
      <c r="J172" s="5">
        <v>-0.71699999999999997</v>
      </c>
      <c r="K172" s="5">
        <v>-0.26400000000000001</v>
      </c>
      <c r="L172" s="5">
        <v>1.236</v>
      </c>
      <c r="M172" s="5">
        <v>1.4279999999999999</v>
      </c>
      <c r="N172" s="5">
        <v>0.71399999999999997</v>
      </c>
      <c r="O172" s="5">
        <v>0.70199999999999996</v>
      </c>
      <c r="P172" s="5">
        <v>0.47699999999999998</v>
      </c>
      <c r="Q172" s="5">
        <v>0.65800000000000003</v>
      </c>
      <c r="R172" s="5">
        <v>0.28100000000000003</v>
      </c>
      <c r="S172" s="5">
        <v>0.28299999999999997</v>
      </c>
      <c r="T172" s="5">
        <v>0.29099999999999998</v>
      </c>
      <c r="U172" s="5">
        <v>0.59199999999999997</v>
      </c>
      <c r="V172" s="5">
        <v>0.377</v>
      </c>
      <c r="W172" t="s">
        <v>1322</v>
      </c>
      <c r="X172" t="s">
        <v>1323</v>
      </c>
      <c r="Y172" t="s">
        <v>1315</v>
      </c>
      <c r="Z172" t="s">
        <v>488</v>
      </c>
    </row>
    <row r="173" spans="1:26" x14ac:dyDescent="0.3">
      <c r="A173" t="s">
        <v>714</v>
      </c>
      <c r="B173" t="s">
        <v>289</v>
      </c>
      <c r="C173" t="s">
        <v>32</v>
      </c>
      <c r="D173" t="s">
        <v>490</v>
      </c>
      <c r="E173" t="s">
        <v>277</v>
      </c>
      <c r="F173" s="3">
        <v>10.462910000000001</v>
      </c>
      <c r="G173" s="3">
        <v>-0.94267000000000001</v>
      </c>
      <c r="H173" s="5">
        <v>0.79</v>
      </c>
      <c r="I173" s="5">
        <v>0.05</v>
      </c>
      <c r="J173" s="5">
        <v>1.1879999999999999</v>
      </c>
      <c r="K173" s="5">
        <v>-0.71599999999999997</v>
      </c>
      <c r="L173" s="5">
        <v>3.7440000000000002</v>
      </c>
      <c r="M173" s="5">
        <v>0.98899999999999999</v>
      </c>
      <c r="N173" s="5">
        <v>0.70299999999999996</v>
      </c>
      <c r="O173" s="5">
        <v>0.83399999999999996</v>
      </c>
      <c r="P173" s="5">
        <v>0.73699999999999999</v>
      </c>
      <c r="Q173" s="5">
        <v>0.71099999999999997</v>
      </c>
      <c r="R173" s="5">
        <v>0.23599999999999999</v>
      </c>
      <c r="S173" s="5">
        <v>0.312</v>
      </c>
      <c r="T173" s="5">
        <v>0.216</v>
      </c>
      <c r="U173" s="5">
        <v>0.88900000000000001</v>
      </c>
      <c r="V173" s="5">
        <v>0.54700000000000004</v>
      </c>
      <c r="W173" t="s">
        <v>1322</v>
      </c>
      <c r="X173" t="s">
        <v>1323</v>
      </c>
      <c r="Y173" t="s">
        <v>1314</v>
      </c>
      <c r="Z173" t="s">
        <v>488</v>
      </c>
    </row>
    <row r="174" spans="1:26" x14ac:dyDescent="0.3">
      <c r="A174" t="s">
        <v>715</v>
      </c>
      <c r="B174" t="s">
        <v>291</v>
      </c>
      <c r="C174" t="s">
        <v>32</v>
      </c>
      <c r="D174" t="s">
        <v>484</v>
      </c>
      <c r="E174" t="s">
        <v>277</v>
      </c>
      <c r="F174" s="3">
        <v>11.040150000000001</v>
      </c>
      <c r="G174" s="3">
        <v>9.6930000000000002E-2</v>
      </c>
      <c r="H174" s="5">
        <v>0.78300000000000003</v>
      </c>
      <c r="I174" s="5">
        <v>0.34200000000000003</v>
      </c>
      <c r="J174" s="5">
        <v>4.0000000000000001E-3</v>
      </c>
      <c r="K174" s="5">
        <v>2.8050000000000002</v>
      </c>
      <c r="L174" s="5">
        <v>0.215</v>
      </c>
      <c r="M174" s="5">
        <v>1.1140000000000001</v>
      </c>
      <c r="N174" s="5">
        <v>0.66700000000000004</v>
      </c>
      <c r="O174" s="5">
        <v>0.70899999999999996</v>
      </c>
      <c r="P174" s="5">
        <v>0.51800000000000002</v>
      </c>
      <c r="Q174" s="5">
        <v>0.63400000000000001</v>
      </c>
      <c r="R174" s="5">
        <v>0.247</v>
      </c>
      <c r="S174" s="5">
        <v>0.14299999999999999</v>
      </c>
      <c r="T174" s="5">
        <v>0.88</v>
      </c>
      <c r="U174" s="5">
        <v>0.34799999999999998</v>
      </c>
      <c r="V174" s="5">
        <v>0.41699999999999998</v>
      </c>
      <c r="W174" t="s">
        <v>1316</v>
      </c>
      <c r="X174" t="s">
        <v>1317</v>
      </c>
      <c r="Y174" t="s">
        <v>1314</v>
      </c>
      <c r="Z174" t="s">
        <v>543</v>
      </c>
    </row>
    <row r="175" spans="1:26" x14ac:dyDescent="0.3">
      <c r="A175" t="s">
        <v>716</v>
      </c>
      <c r="B175" t="s">
        <v>291</v>
      </c>
      <c r="C175" t="s">
        <v>32</v>
      </c>
      <c r="D175" t="s">
        <v>490</v>
      </c>
      <c r="E175" t="s">
        <v>277</v>
      </c>
      <c r="F175" s="3">
        <v>11.040150000000001</v>
      </c>
      <c r="G175" s="3">
        <v>9.6930000000000002E-2</v>
      </c>
      <c r="H175" s="5">
        <v>0.78300000000000003</v>
      </c>
      <c r="I175" s="5">
        <v>0.34200000000000003</v>
      </c>
      <c r="J175" s="5">
        <v>0.443</v>
      </c>
      <c r="K175" s="5">
        <v>1.145</v>
      </c>
      <c r="L175" s="5">
        <v>0.62</v>
      </c>
      <c r="M175" s="5">
        <v>0.84499999999999997</v>
      </c>
      <c r="N175" s="5">
        <v>0.57099999999999995</v>
      </c>
      <c r="O175" s="5">
        <v>0.92600000000000005</v>
      </c>
      <c r="P175" s="5">
        <v>0.70799999999999996</v>
      </c>
      <c r="Q175" s="5">
        <v>0.7</v>
      </c>
      <c r="R175" s="5">
        <v>0.24099999999999999</v>
      </c>
      <c r="S175" s="5">
        <v>0.157</v>
      </c>
      <c r="T175" s="5">
        <v>0.60399999999999998</v>
      </c>
      <c r="U175" s="5">
        <v>0.39600000000000002</v>
      </c>
      <c r="V175" s="5">
        <v>0.52</v>
      </c>
      <c r="W175" t="s">
        <v>1316</v>
      </c>
      <c r="X175" t="s">
        <v>1317</v>
      </c>
      <c r="Y175" t="s">
        <v>1314</v>
      </c>
      <c r="Z175" t="s">
        <v>488</v>
      </c>
    </row>
    <row r="176" spans="1:26" x14ac:dyDescent="0.3">
      <c r="A176" t="s">
        <v>717</v>
      </c>
      <c r="B176" t="s">
        <v>295</v>
      </c>
      <c r="C176" t="s">
        <v>32</v>
      </c>
      <c r="D176" t="s">
        <v>484</v>
      </c>
      <c r="E176" t="s">
        <v>277</v>
      </c>
      <c r="F176" s="3">
        <v>11.02787</v>
      </c>
      <c r="G176" s="3">
        <v>-0.62551999999999996</v>
      </c>
      <c r="H176" s="5">
        <v>0.82799999999999996</v>
      </c>
      <c r="I176" s="5">
        <v>0.316</v>
      </c>
      <c r="J176" s="5">
        <v>-0.56299999999999994</v>
      </c>
      <c r="K176" s="5">
        <v>-0.44700000000000001</v>
      </c>
      <c r="L176" s="5">
        <v>1.31</v>
      </c>
      <c r="M176" s="5">
        <v>1.1990000000000001</v>
      </c>
      <c r="N176" s="5">
        <v>0.73899999999999999</v>
      </c>
      <c r="O176" s="5">
        <v>0.69899999999999995</v>
      </c>
      <c r="P176" s="5">
        <v>0.504</v>
      </c>
      <c r="Q176" s="5">
        <v>0.61799999999999999</v>
      </c>
      <c r="R176" s="5">
        <v>0.245</v>
      </c>
      <c r="S176" s="5">
        <v>0.29699999999999999</v>
      </c>
      <c r="T176" s="5">
        <v>0.217</v>
      </c>
      <c r="U176" s="5">
        <v>0.57099999999999995</v>
      </c>
      <c r="V176" s="5">
        <v>0.39100000000000001</v>
      </c>
      <c r="W176" t="s">
        <v>1322</v>
      </c>
      <c r="X176" t="s">
        <v>1323</v>
      </c>
      <c r="Y176" t="s">
        <v>1315</v>
      </c>
      <c r="Z176" t="s">
        <v>488</v>
      </c>
    </row>
    <row r="177" spans="1:26" x14ac:dyDescent="0.3">
      <c r="A177" t="s">
        <v>718</v>
      </c>
      <c r="B177" t="s">
        <v>295</v>
      </c>
      <c r="C177" t="s">
        <v>32</v>
      </c>
      <c r="D177" t="s">
        <v>490</v>
      </c>
      <c r="E177" t="s">
        <v>277</v>
      </c>
      <c r="F177" s="3">
        <v>11.02787</v>
      </c>
      <c r="G177" s="3">
        <v>-0.62551999999999996</v>
      </c>
      <c r="H177" s="5">
        <v>0.82799999999999996</v>
      </c>
      <c r="I177" s="5">
        <v>0.316</v>
      </c>
      <c r="J177" s="5">
        <v>0.432</v>
      </c>
      <c r="K177" s="5">
        <v>-0.749</v>
      </c>
      <c r="L177" s="5">
        <v>2.5760000000000001</v>
      </c>
      <c r="M177" s="5">
        <v>1.17</v>
      </c>
      <c r="N177" s="5">
        <v>0.86399999999999999</v>
      </c>
      <c r="O177" s="5">
        <v>0.82199999999999995</v>
      </c>
      <c r="P177" s="5">
        <v>0.70799999999999996</v>
      </c>
      <c r="Q177" s="5">
        <v>0.77700000000000002</v>
      </c>
      <c r="R177" s="5">
        <v>0.32700000000000001</v>
      </c>
      <c r="S177" s="5">
        <v>0.3</v>
      </c>
      <c r="T177" s="5">
        <v>0.16700000000000001</v>
      </c>
      <c r="U177" s="5">
        <v>0.72099999999999997</v>
      </c>
      <c r="V177" s="5">
        <v>0.50900000000000001</v>
      </c>
      <c r="W177" t="s">
        <v>1322</v>
      </c>
      <c r="X177" t="s">
        <v>1323</v>
      </c>
      <c r="Y177" t="s">
        <v>1315</v>
      </c>
      <c r="Z177" t="s">
        <v>488</v>
      </c>
    </row>
    <row r="178" spans="1:26" x14ac:dyDescent="0.3">
      <c r="A178" t="s">
        <v>719</v>
      </c>
      <c r="B178" t="s">
        <v>298</v>
      </c>
      <c r="C178" t="s">
        <v>32</v>
      </c>
      <c r="D178" t="s">
        <v>484</v>
      </c>
      <c r="E178" t="s">
        <v>101</v>
      </c>
      <c r="F178" s="3">
        <v>11.064349999999999</v>
      </c>
      <c r="G178" s="3">
        <v>-4.2070000000000003E-2</v>
      </c>
      <c r="H178" s="5">
        <v>0.81299999999999994</v>
      </c>
      <c r="I178" s="5">
        <v>0.53</v>
      </c>
      <c r="J178" s="5">
        <v>5.0999999999999997E-2</v>
      </c>
      <c r="K178" s="5">
        <v>-0.34100000000000003</v>
      </c>
      <c r="L178" s="5">
        <v>0.34100000000000003</v>
      </c>
      <c r="M178" s="5">
        <v>1.1160000000000001</v>
      </c>
      <c r="N178" s="5">
        <v>0.73399999999999999</v>
      </c>
      <c r="O178" s="5">
        <v>0.78400000000000003</v>
      </c>
      <c r="P178" s="5">
        <v>0.55000000000000004</v>
      </c>
      <c r="Q178" s="5">
        <v>0.61899999999999999</v>
      </c>
      <c r="R178" s="5">
        <v>0.317</v>
      </c>
      <c r="S178" s="5">
        <v>0.33</v>
      </c>
      <c r="T178" s="5">
        <v>0.29899999999999999</v>
      </c>
      <c r="U178" s="5">
        <v>0.38900000000000001</v>
      </c>
      <c r="V178" s="5">
        <v>0.437</v>
      </c>
      <c r="W178" t="s">
        <v>1312</v>
      </c>
      <c r="X178" t="s">
        <v>1313</v>
      </c>
      <c r="Y178" t="s">
        <v>1315</v>
      </c>
      <c r="Z178" t="s">
        <v>488</v>
      </c>
    </row>
    <row r="179" spans="1:26" x14ac:dyDescent="0.3">
      <c r="A179" t="s">
        <v>720</v>
      </c>
      <c r="B179" t="s">
        <v>298</v>
      </c>
      <c r="C179" t="s">
        <v>32</v>
      </c>
      <c r="D179" t="s">
        <v>490</v>
      </c>
      <c r="E179" t="s">
        <v>101</v>
      </c>
      <c r="F179" s="3">
        <v>11.064349999999999</v>
      </c>
      <c r="G179" s="3">
        <v>-4.2070000000000003E-2</v>
      </c>
      <c r="H179" s="5">
        <v>0.81299999999999994</v>
      </c>
      <c r="I179" s="5">
        <v>0.53</v>
      </c>
      <c r="J179" s="5">
        <v>0.41299999999999998</v>
      </c>
      <c r="K179" s="5">
        <v>0.27</v>
      </c>
      <c r="L179" s="5">
        <v>1.5</v>
      </c>
      <c r="M179" s="5">
        <v>1.264</v>
      </c>
      <c r="N179" s="5">
        <v>0.71</v>
      </c>
      <c r="O179" s="5">
        <v>0.79700000000000004</v>
      </c>
      <c r="P179" s="5">
        <v>0.69399999999999995</v>
      </c>
      <c r="Q179" s="5">
        <v>0.68</v>
      </c>
      <c r="R179" s="5">
        <v>0.28799999999999998</v>
      </c>
      <c r="S179" s="5">
        <v>0.30499999999999999</v>
      </c>
      <c r="T179" s="5">
        <v>0.40100000000000002</v>
      </c>
      <c r="U179" s="5">
        <v>0.52600000000000002</v>
      </c>
      <c r="V179" s="5">
        <v>0.501</v>
      </c>
      <c r="W179" t="s">
        <v>1322</v>
      </c>
      <c r="X179" t="s">
        <v>1323</v>
      </c>
      <c r="Y179" t="s">
        <v>1315</v>
      </c>
      <c r="Z179" t="s">
        <v>488</v>
      </c>
    </row>
    <row r="180" spans="1:26" x14ac:dyDescent="0.3">
      <c r="A180" t="s">
        <v>721</v>
      </c>
      <c r="B180" t="s">
        <v>300</v>
      </c>
      <c r="C180" t="s">
        <v>32</v>
      </c>
      <c r="D180" t="s">
        <v>484</v>
      </c>
      <c r="E180" t="s">
        <v>142</v>
      </c>
      <c r="F180" s="3">
        <v>10.884399999999999</v>
      </c>
      <c r="G180" s="3">
        <v>-0.12670000000000001</v>
      </c>
      <c r="H180" s="5">
        <v>0.75700000000000001</v>
      </c>
      <c r="I180" s="5">
        <v>0.33</v>
      </c>
      <c r="J180" s="5">
        <v>-0.73299999999999998</v>
      </c>
      <c r="K180" s="5">
        <v>0.85299999999999998</v>
      </c>
      <c r="L180" s="5">
        <v>0.66400000000000003</v>
      </c>
      <c r="M180" s="5">
        <v>1.3959999999999999</v>
      </c>
      <c r="N180" s="5">
        <v>0.77300000000000002</v>
      </c>
      <c r="O180" s="5">
        <v>0.62</v>
      </c>
      <c r="P180" s="5">
        <v>0.443</v>
      </c>
      <c r="Q180" s="5">
        <v>0.33100000000000002</v>
      </c>
      <c r="R180" s="5">
        <v>0.30299999999999999</v>
      </c>
      <c r="S180" s="5">
        <v>0.33800000000000002</v>
      </c>
      <c r="T180" s="5">
        <v>0.51800000000000002</v>
      </c>
      <c r="U180" s="5">
        <v>0.39800000000000002</v>
      </c>
      <c r="V180" s="5">
        <v>0.35599999999999998</v>
      </c>
      <c r="W180" t="s">
        <v>1316</v>
      </c>
      <c r="X180" t="s">
        <v>1317</v>
      </c>
      <c r="Y180" t="s">
        <v>1315</v>
      </c>
      <c r="Z180" t="s">
        <v>488</v>
      </c>
    </row>
    <row r="181" spans="1:26" x14ac:dyDescent="0.3">
      <c r="A181" t="s">
        <v>722</v>
      </c>
      <c r="B181" t="s">
        <v>300</v>
      </c>
      <c r="C181" t="s">
        <v>32</v>
      </c>
      <c r="D181" t="s">
        <v>490</v>
      </c>
      <c r="E181" t="s">
        <v>142</v>
      </c>
      <c r="F181" s="3">
        <v>10.884399999999999</v>
      </c>
      <c r="G181" s="3">
        <v>-0.12670000000000001</v>
      </c>
      <c r="H181" s="5">
        <v>0.75700000000000001</v>
      </c>
      <c r="I181" s="5">
        <v>0.33</v>
      </c>
      <c r="J181" s="5">
        <v>1.413</v>
      </c>
      <c r="K181" s="5">
        <v>8.1000000000000003E-2</v>
      </c>
      <c r="L181" s="5">
        <v>1.079</v>
      </c>
      <c r="M181" s="5">
        <v>1.071</v>
      </c>
      <c r="N181" s="5">
        <v>0.72899999999999998</v>
      </c>
      <c r="O181" s="5">
        <v>0.71799999999999997</v>
      </c>
      <c r="P181" s="5">
        <v>0.71199999999999997</v>
      </c>
      <c r="Q181" s="5">
        <v>0.44400000000000001</v>
      </c>
      <c r="R181" s="5">
        <v>0.27700000000000002</v>
      </c>
      <c r="S181" s="5">
        <v>0.20899999999999999</v>
      </c>
      <c r="T181" s="5">
        <v>0.39</v>
      </c>
      <c r="U181" s="5">
        <v>0.44700000000000001</v>
      </c>
      <c r="V181" s="5">
        <v>0.53400000000000003</v>
      </c>
      <c r="W181" t="s">
        <v>1318</v>
      </c>
      <c r="X181" t="s">
        <v>1319</v>
      </c>
      <c r="Y181" t="s">
        <v>1315</v>
      </c>
      <c r="Z181" t="s">
        <v>488</v>
      </c>
    </row>
    <row r="182" spans="1:26" x14ac:dyDescent="0.3">
      <c r="A182" t="s">
        <v>723</v>
      </c>
      <c r="B182" t="s">
        <v>302</v>
      </c>
      <c r="C182" t="s">
        <v>32</v>
      </c>
      <c r="D182" t="s">
        <v>484</v>
      </c>
      <c r="E182" t="s">
        <v>277</v>
      </c>
      <c r="F182" s="3">
        <v>11.08229</v>
      </c>
      <c r="G182" s="3">
        <v>-0.54044999999999999</v>
      </c>
      <c r="H182" s="5">
        <v>0.84799999999999998</v>
      </c>
      <c r="I182" s="5">
        <v>0.38500000000000001</v>
      </c>
      <c r="J182" s="5">
        <v>-0.48599999999999999</v>
      </c>
      <c r="K182" s="5">
        <v>0.90100000000000002</v>
      </c>
      <c r="L182" s="5">
        <v>3.1419999999999999</v>
      </c>
      <c r="M182" s="5">
        <v>1.2390000000000001</v>
      </c>
      <c r="N182" s="5">
        <v>0.79700000000000004</v>
      </c>
      <c r="O182" s="5">
        <v>0.72399999999999998</v>
      </c>
      <c r="P182" s="5">
        <v>0.52300000000000002</v>
      </c>
      <c r="Q182" s="5">
        <v>0.629</v>
      </c>
      <c r="R182" s="5">
        <v>0.35399999999999998</v>
      </c>
      <c r="S182" s="5">
        <v>0.26700000000000002</v>
      </c>
      <c r="T182" s="5">
        <v>0.54500000000000004</v>
      </c>
      <c r="U182" s="5">
        <v>0.747</v>
      </c>
      <c r="V182" s="5">
        <v>0.40300000000000002</v>
      </c>
      <c r="W182" t="s">
        <v>1322</v>
      </c>
      <c r="X182" t="s">
        <v>1323</v>
      </c>
      <c r="Y182" t="s">
        <v>1315</v>
      </c>
      <c r="Z182" t="s">
        <v>543</v>
      </c>
    </row>
    <row r="183" spans="1:26" x14ac:dyDescent="0.3">
      <c r="A183" t="s">
        <v>724</v>
      </c>
      <c r="B183" t="s">
        <v>302</v>
      </c>
      <c r="C183" t="s">
        <v>32</v>
      </c>
      <c r="D183" t="s">
        <v>490</v>
      </c>
      <c r="E183" t="s">
        <v>277</v>
      </c>
      <c r="F183" s="3">
        <v>11.08229</v>
      </c>
      <c r="G183" s="3">
        <v>-0.54044999999999999</v>
      </c>
      <c r="H183" s="5">
        <v>0.84799999999999998</v>
      </c>
      <c r="I183" s="5">
        <v>0.38500000000000001</v>
      </c>
      <c r="J183" s="5">
        <v>1.23</v>
      </c>
      <c r="K183" s="5">
        <v>0.78100000000000003</v>
      </c>
      <c r="L183" s="5">
        <v>4.0709999999999997</v>
      </c>
      <c r="M183" s="5">
        <v>1.3</v>
      </c>
      <c r="N183" s="5">
        <v>0.75900000000000001</v>
      </c>
      <c r="O183" s="5">
        <v>0.79800000000000004</v>
      </c>
      <c r="P183" s="5">
        <v>0.76100000000000001</v>
      </c>
      <c r="Q183" s="5">
        <v>0.77200000000000002</v>
      </c>
      <c r="R183" s="5">
        <v>0.28999999999999998</v>
      </c>
      <c r="S183" s="5">
        <v>0.30299999999999999</v>
      </c>
      <c r="T183" s="5">
        <v>0.52500000000000002</v>
      </c>
      <c r="U183" s="5">
        <v>0.85699999999999998</v>
      </c>
      <c r="V183" s="5">
        <v>0.55300000000000005</v>
      </c>
      <c r="W183" t="s">
        <v>1322</v>
      </c>
      <c r="X183" t="s">
        <v>1323</v>
      </c>
      <c r="Y183" t="s">
        <v>1315</v>
      </c>
      <c r="Z183" t="s">
        <v>488</v>
      </c>
    </row>
    <row r="184" spans="1:26" x14ac:dyDescent="0.3">
      <c r="A184" t="s">
        <v>725</v>
      </c>
      <c r="B184" t="s">
        <v>305</v>
      </c>
      <c r="C184" t="s">
        <v>32</v>
      </c>
      <c r="D184" t="s">
        <v>484</v>
      </c>
      <c r="E184" t="s">
        <v>142</v>
      </c>
      <c r="F184" s="3">
        <v>10.92864</v>
      </c>
      <c r="G184" s="3">
        <v>-0.80208000000000002</v>
      </c>
      <c r="H184" s="5">
        <v>0.747</v>
      </c>
      <c r="I184" s="5">
        <v>0.36299999999999999</v>
      </c>
      <c r="J184" s="5">
        <v>-0.44800000000000001</v>
      </c>
      <c r="K184" s="5">
        <v>-0.68100000000000005</v>
      </c>
      <c r="L184" s="5">
        <v>0.879</v>
      </c>
      <c r="M184" s="5">
        <v>0.98399999999999999</v>
      </c>
      <c r="N184" s="5">
        <v>0.67500000000000004</v>
      </c>
      <c r="O184" s="5">
        <v>0.871</v>
      </c>
      <c r="P184" s="5">
        <v>0.50600000000000001</v>
      </c>
      <c r="Q184" s="5">
        <v>0.41599999999999998</v>
      </c>
      <c r="R184" s="5">
        <v>0.29499999999999998</v>
      </c>
      <c r="S184" s="5">
        <v>0.27900000000000003</v>
      </c>
      <c r="T184" s="5">
        <v>0.20499999999999999</v>
      </c>
      <c r="U184" s="5">
        <v>0.41599999999999998</v>
      </c>
      <c r="V184" s="5">
        <v>0.41299999999999998</v>
      </c>
      <c r="W184" t="s">
        <v>1322</v>
      </c>
      <c r="X184" t="s">
        <v>1323</v>
      </c>
      <c r="Y184" t="s">
        <v>1314</v>
      </c>
      <c r="Z184" t="s">
        <v>488</v>
      </c>
    </row>
    <row r="185" spans="1:26" x14ac:dyDescent="0.3">
      <c r="A185" t="s">
        <v>726</v>
      </c>
      <c r="B185" t="s">
        <v>305</v>
      </c>
      <c r="C185" t="s">
        <v>32</v>
      </c>
      <c r="D185" t="s">
        <v>490</v>
      </c>
      <c r="E185" t="s">
        <v>142</v>
      </c>
      <c r="F185" s="3">
        <v>10.92864</v>
      </c>
      <c r="G185" s="3">
        <v>-0.80208000000000002</v>
      </c>
      <c r="H185" s="5">
        <v>0.747</v>
      </c>
      <c r="I185" s="5">
        <v>0.36299999999999999</v>
      </c>
      <c r="J185" s="5">
        <v>-0.16</v>
      </c>
      <c r="K185" s="5">
        <v>-0.442</v>
      </c>
      <c r="L185" s="5">
        <v>0.60599999999999998</v>
      </c>
      <c r="M185" s="5">
        <v>1.0429999999999999</v>
      </c>
      <c r="N185" s="5">
        <v>0.68</v>
      </c>
      <c r="O185" s="5">
        <v>0.64100000000000001</v>
      </c>
      <c r="P185" s="5">
        <v>0.59699999999999998</v>
      </c>
      <c r="Q185" s="5">
        <v>0.46</v>
      </c>
      <c r="R185" s="5">
        <v>0.316</v>
      </c>
      <c r="S185" s="5">
        <v>0.15</v>
      </c>
      <c r="T185" s="5">
        <v>0.245</v>
      </c>
      <c r="U185" s="5">
        <v>0.38400000000000001</v>
      </c>
      <c r="V185" s="5">
        <v>0.432</v>
      </c>
      <c r="W185" t="s">
        <v>1318</v>
      </c>
      <c r="X185" t="s">
        <v>1319</v>
      </c>
      <c r="Y185" t="s">
        <v>1315</v>
      </c>
      <c r="Z185" t="s">
        <v>488</v>
      </c>
    </row>
    <row r="186" spans="1:26" x14ac:dyDescent="0.3">
      <c r="A186" t="s">
        <v>727</v>
      </c>
      <c r="B186" t="s">
        <v>307</v>
      </c>
      <c r="C186" t="s">
        <v>32</v>
      </c>
      <c r="D186" t="s">
        <v>484</v>
      </c>
      <c r="E186" t="s">
        <v>277</v>
      </c>
      <c r="F186" s="3">
        <v>10.766</v>
      </c>
      <c r="G186" s="3">
        <v>-0.11361</v>
      </c>
      <c r="H186" s="5">
        <v>0.80700000000000005</v>
      </c>
      <c r="I186" s="5">
        <v>0.42099999999999999</v>
      </c>
      <c r="J186" s="5">
        <v>-0.63800000000000001</v>
      </c>
      <c r="K186" s="5">
        <v>-0.45</v>
      </c>
      <c r="L186" s="5">
        <v>0.98799999999999999</v>
      </c>
      <c r="M186" s="5">
        <v>1.101</v>
      </c>
      <c r="N186" s="5">
        <v>0.73499999999999999</v>
      </c>
      <c r="O186" s="5">
        <v>0.77800000000000002</v>
      </c>
      <c r="P186" s="5">
        <v>0.505</v>
      </c>
      <c r="Q186" s="5">
        <v>0.67400000000000004</v>
      </c>
      <c r="R186" s="5">
        <v>0.36</v>
      </c>
      <c r="S186" s="5">
        <v>0.29699999999999999</v>
      </c>
      <c r="T186" s="5">
        <v>0.26100000000000001</v>
      </c>
      <c r="U186" s="5">
        <v>0.505</v>
      </c>
      <c r="V186" s="5">
        <v>0.39700000000000002</v>
      </c>
      <c r="W186" t="s">
        <v>1312</v>
      </c>
      <c r="X186" t="s">
        <v>1313</v>
      </c>
      <c r="Y186" t="s">
        <v>1315</v>
      </c>
      <c r="Z186" t="s">
        <v>488</v>
      </c>
    </row>
    <row r="187" spans="1:26" x14ac:dyDescent="0.3">
      <c r="A187" t="s">
        <v>728</v>
      </c>
      <c r="B187" t="s">
        <v>307</v>
      </c>
      <c r="C187" t="s">
        <v>32</v>
      </c>
      <c r="D187" t="s">
        <v>490</v>
      </c>
      <c r="E187" t="s">
        <v>277</v>
      </c>
      <c r="F187" s="3">
        <v>10.766</v>
      </c>
      <c r="G187" s="3">
        <v>-0.11361</v>
      </c>
      <c r="H187" s="5">
        <v>0.80700000000000005</v>
      </c>
      <c r="I187" s="5">
        <v>0.42099999999999999</v>
      </c>
      <c r="J187" s="5">
        <v>1.472</v>
      </c>
      <c r="K187" s="5">
        <v>-0.33600000000000002</v>
      </c>
      <c r="L187" s="5">
        <v>3.9849999999999999</v>
      </c>
      <c r="M187" s="5">
        <v>1.0409999999999999</v>
      </c>
      <c r="N187" s="5">
        <v>0.79700000000000004</v>
      </c>
      <c r="O187" s="5">
        <v>0.76900000000000002</v>
      </c>
      <c r="P187" s="5">
        <v>0.75</v>
      </c>
      <c r="Q187" s="5">
        <v>0.72799999999999998</v>
      </c>
      <c r="R187" s="5">
        <v>0.23</v>
      </c>
      <c r="S187" s="5">
        <v>0.27900000000000003</v>
      </c>
      <c r="T187" s="5">
        <v>0.28000000000000003</v>
      </c>
      <c r="U187" s="5">
        <v>0.86</v>
      </c>
      <c r="V187" s="5">
        <v>0.55400000000000005</v>
      </c>
      <c r="W187" t="s">
        <v>1322</v>
      </c>
      <c r="X187" t="s">
        <v>1323</v>
      </c>
      <c r="Y187" t="s">
        <v>1314</v>
      </c>
      <c r="Z187" t="s">
        <v>488</v>
      </c>
    </row>
    <row r="188" spans="1:26" x14ac:dyDescent="0.3">
      <c r="A188" t="s">
        <v>729</v>
      </c>
      <c r="B188" t="s">
        <v>309</v>
      </c>
      <c r="C188" t="s">
        <v>32</v>
      </c>
      <c r="D188" t="s">
        <v>484</v>
      </c>
      <c r="E188" t="s">
        <v>142</v>
      </c>
      <c r="F188" s="3">
        <v>10.790649999999999</v>
      </c>
      <c r="G188" s="3">
        <v>9.3299999999999998E-3</v>
      </c>
      <c r="H188" s="5">
        <v>0.70499999999999996</v>
      </c>
      <c r="I188" s="5">
        <v>0.41499999999999998</v>
      </c>
      <c r="J188" s="5">
        <v>-1.3540000000000001</v>
      </c>
      <c r="K188" s="5">
        <v>-0.996</v>
      </c>
      <c r="L188" s="5">
        <v>-0.23599999999999999</v>
      </c>
      <c r="M188" s="5">
        <v>1.4379999999999999</v>
      </c>
      <c r="N188" s="5">
        <v>0.93899999999999995</v>
      </c>
      <c r="O188" s="5">
        <v>0.63400000000000001</v>
      </c>
      <c r="P188" s="5">
        <v>0.38400000000000001</v>
      </c>
      <c r="Q188" s="5">
        <v>0.308</v>
      </c>
      <c r="R188" s="5">
        <v>0.29399999999999998</v>
      </c>
      <c r="S188" s="5">
        <v>0.38</v>
      </c>
      <c r="T188" s="5">
        <v>0.11899999999999999</v>
      </c>
      <c r="U188" s="5">
        <v>0.25</v>
      </c>
      <c r="V188" s="5">
        <v>0.315</v>
      </c>
      <c r="W188" t="s">
        <v>1320</v>
      </c>
      <c r="X188" t="s">
        <v>1321</v>
      </c>
      <c r="Y188" t="s">
        <v>1315</v>
      </c>
      <c r="Z188" t="s">
        <v>488</v>
      </c>
    </row>
    <row r="189" spans="1:26" x14ac:dyDescent="0.3">
      <c r="A189" t="s">
        <v>730</v>
      </c>
      <c r="B189" t="s">
        <v>309</v>
      </c>
      <c r="C189" t="s">
        <v>32</v>
      </c>
      <c r="D189" t="s">
        <v>490</v>
      </c>
      <c r="E189" t="s">
        <v>142</v>
      </c>
      <c r="F189" s="3">
        <v>10.790649999999999</v>
      </c>
      <c r="G189" s="3">
        <v>9.3299999999999998E-3</v>
      </c>
      <c r="H189" s="5">
        <v>0.70499999999999996</v>
      </c>
      <c r="I189" s="5">
        <v>0.41499999999999998</v>
      </c>
      <c r="J189" s="5">
        <v>0.153</v>
      </c>
      <c r="K189" s="5">
        <v>-0.91</v>
      </c>
      <c r="L189" s="5">
        <v>-0.19800000000000001</v>
      </c>
      <c r="M189" s="5">
        <v>0.81</v>
      </c>
      <c r="N189" s="5">
        <v>0.69899999999999995</v>
      </c>
      <c r="O189" s="5">
        <v>0.76300000000000001</v>
      </c>
      <c r="P189" s="5">
        <v>0.62</v>
      </c>
      <c r="Q189" s="5">
        <v>0.47899999999999998</v>
      </c>
      <c r="R189" s="5">
        <v>0.29699999999999999</v>
      </c>
      <c r="S189" s="5">
        <v>0.25900000000000001</v>
      </c>
      <c r="T189" s="5">
        <v>0.13300000000000001</v>
      </c>
      <c r="U189" s="5">
        <v>0.255</v>
      </c>
      <c r="V189" s="5">
        <v>0.46300000000000002</v>
      </c>
      <c r="W189" t="s">
        <v>1318</v>
      </c>
      <c r="X189" t="s">
        <v>1319</v>
      </c>
      <c r="Y189" t="s">
        <v>1315</v>
      </c>
      <c r="Z189" t="s">
        <v>488</v>
      </c>
    </row>
    <row r="190" spans="1:26" x14ac:dyDescent="0.3">
      <c r="A190" t="s">
        <v>731</v>
      </c>
      <c r="B190" t="s">
        <v>311</v>
      </c>
      <c r="C190" t="s">
        <v>32</v>
      </c>
      <c r="D190" t="s">
        <v>484</v>
      </c>
      <c r="E190" t="s">
        <v>142</v>
      </c>
      <c r="F190" s="3">
        <v>10.39429</v>
      </c>
      <c r="G190" s="3">
        <v>-1.3781699999999999</v>
      </c>
      <c r="H190" s="5">
        <v>0.82899999999999996</v>
      </c>
      <c r="I190" s="5">
        <v>0.36899999999999999</v>
      </c>
      <c r="J190" s="5">
        <v>-0.27300000000000002</v>
      </c>
      <c r="K190" s="5">
        <v>-0.4</v>
      </c>
      <c r="L190" s="5">
        <v>4.2999999999999997E-2</v>
      </c>
      <c r="M190" s="5">
        <v>1.2629999999999999</v>
      </c>
      <c r="N190" s="5">
        <v>0.745</v>
      </c>
      <c r="O190" s="5">
        <v>0.57799999999999996</v>
      </c>
      <c r="P190" s="5">
        <v>0.497</v>
      </c>
      <c r="Q190" s="5">
        <v>0.37</v>
      </c>
      <c r="R190" s="5">
        <v>0.27900000000000003</v>
      </c>
      <c r="S190" s="5">
        <v>0.23100000000000001</v>
      </c>
      <c r="T190" s="5">
        <v>0.21099999999999999</v>
      </c>
      <c r="U190" s="5">
        <v>0.30299999999999999</v>
      </c>
      <c r="V190" s="5">
        <v>0.38700000000000001</v>
      </c>
      <c r="W190" t="s">
        <v>1318</v>
      </c>
      <c r="X190" t="s">
        <v>1319</v>
      </c>
      <c r="Y190" t="s">
        <v>1314</v>
      </c>
      <c r="Z190" t="s">
        <v>488</v>
      </c>
    </row>
    <row r="191" spans="1:26" x14ac:dyDescent="0.3">
      <c r="A191" t="s">
        <v>732</v>
      </c>
      <c r="B191" t="s">
        <v>311</v>
      </c>
      <c r="C191" t="s">
        <v>32</v>
      </c>
      <c r="D191" t="s">
        <v>490</v>
      </c>
      <c r="E191" t="s">
        <v>142</v>
      </c>
      <c r="F191" s="3">
        <v>10.39429</v>
      </c>
      <c r="G191" s="3">
        <v>-1.3781699999999999</v>
      </c>
      <c r="H191" s="5">
        <v>0.82899999999999996</v>
      </c>
      <c r="I191" s="5">
        <v>0.36899999999999999</v>
      </c>
      <c r="J191" s="5">
        <v>0.52100000000000002</v>
      </c>
      <c r="K191" s="5">
        <v>-0.53600000000000003</v>
      </c>
      <c r="L191" s="5">
        <v>0.61199999999999999</v>
      </c>
      <c r="M191" s="5">
        <v>1.0229999999999999</v>
      </c>
      <c r="N191" s="5">
        <v>0.81200000000000006</v>
      </c>
      <c r="O191" s="5">
        <v>0.85599999999999998</v>
      </c>
      <c r="P191" s="5">
        <v>0.72</v>
      </c>
      <c r="Q191" s="5">
        <v>0.52500000000000002</v>
      </c>
      <c r="R191" s="5">
        <v>0.27500000000000002</v>
      </c>
      <c r="S191" s="5">
        <v>0.28899999999999998</v>
      </c>
      <c r="T191" s="5">
        <v>0.189</v>
      </c>
      <c r="U191" s="5">
        <v>0.371</v>
      </c>
      <c r="V191" s="5">
        <v>0.52</v>
      </c>
      <c r="W191" t="s">
        <v>1318</v>
      </c>
      <c r="X191" t="s">
        <v>1319</v>
      </c>
      <c r="Y191" t="s">
        <v>1315</v>
      </c>
      <c r="Z191" t="s">
        <v>488</v>
      </c>
    </row>
    <row r="192" spans="1:26" x14ac:dyDescent="0.3">
      <c r="A192" t="s">
        <v>734</v>
      </c>
      <c r="B192" t="s">
        <v>313</v>
      </c>
      <c r="C192" t="s">
        <v>32</v>
      </c>
      <c r="D192" t="s">
        <v>484</v>
      </c>
      <c r="E192" t="s">
        <v>101</v>
      </c>
      <c r="F192" s="3">
        <v>11.04205</v>
      </c>
      <c r="G192" s="3">
        <v>-0.94201000000000001</v>
      </c>
      <c r="H192" s="5">
        <v>0.79</v>
      </c>
      <c r="I192" s="5">
        <v>0.221</v>
      </c>
      <c r="J192" s="5">
        <v>0.19600000000000001</v>
      </c>
      <c r="K192" s="5">
        <v>-0.48499999999999999</v>
      </c>
      <c r="L192" s="5">
        <v>0.69399999999999995</v>
      </c>
      <c r="M192" s="5">
        <v>1.403</v>
      </c>
      <c r="N192" s="5">
        <v>0.88200000000000001</v>
      </c>
      <c r="O192" s="5">
        <v>0.52200000000000002</v>
      </c>
      <c r="P192" s="5">
        <v>0.495</v>
      </c>
      <c r="Q192" s="5">
        <v>0.71599999999999997</v>
      </c>
      <c r="R192" s="5">
        <v>0.26</v>
      </c>
      <c r="S192" s="5">
        <v>0.32400000000000001</v>
      </c>
      <c r="T192" s="5">
        <v>0.249</v>
      </c>
      <c r="U192" s="5">
        <v>0.44600000000000001</v>
      </c>
      <c r="V192" s="5">
        <v>0.39700000000000002</v>
      </c>
      <c r="W192" t="s">
        <v>1312</v>
      </c>
      <c r="X192" t="s">
        <v>1313</v>
      </c>
      <c r="Y192" t="s">
        <v>1315</v>
      </c>
      <c r="Z192" t="s">
        <v>488</v>
      </c>
    </row>
    <row r="193" spans="1:26" x14ac:dyDescent="0.3">
      <c r="A193" t="s">
        <v>735</v>
      </c>
      <c r="B193" t="s">
        <v>313</v>
      </c>
      <c r="C193" t="s">
        <v>32</v>
      </c>
      <c r="D193" t="s">
        <v>490</v>
      </c>
      <c r="E193" t="s">
        <v>101</v>
      </c>
      <c r="F193" s="3">
        <v>11.04205</v>
      </c>
      <c r="G193" s="3">
        <v>-0.94201000000000001</v>
      </c>
      <c r="H193" s="5">
        <v>0.79</v>
      </c>
      <c r="I193" s="5">
        <v>0.221</v>
      </c>
      <c r="J193" s="5">
        <v>1.0149999999999999</v>
      </c>
      <c r="K193" s="5">
        <v>-0.41399999999999998</v>
      </c>
      <c r="L193" s="5">
        <v>1.341</v>
      </c>
      <c r="M193" s="5">
        <v>0.78800000000000003</v>
      </c>
      <c r="N193" s="5">
        <v>0.55200000000000005</v>
      </c>
      <c r="O193" s="5">
        <v>1.048</v>
      </c>
      <c r="P193" s="5">
        <v>0.77</v>
      </c>
      <c r="Q193" s="5">
        <v>0.747</v>
      </c>
      <c r="R193" s="5">
        <v>0.311</v>
      </c>
      <c r="S193" s="5">
        <v>0.16200000000000001</v>
      </c>
      <c r="T193" s="5">
        <v>0.26100000000000001</v>
      </c>
      <c r="U193" s="5">
        <v>0.52300000000000002</v>
      </c>
      <c r="V193" s="5">
        <v>0.57399999999999995</v>
      </c>
      <c r="W193" t="s">
        <v>1318</v>
      </c>
      <c r="X193" t="s">
        <v>1319</v>
      </c>
      <c r="Y193" t="s">
        <v>1315</v>
      </c>
      <c r="Z193" t="s">
        <v>488</v>
      </c>
    </row>
    <row r="194" spans="1:26" x14ac:dyDescent="0.3">
      <c r="A194" t="s">
        <v>737</v>
      </c>
      <c r="B194" t="s">
        <v>315</v>
      </c>
      <c r="C194" t="s">
        <v>32</v>
      </c>
      <c r="D194" t="s">
        <v>484</v>
      </c>
      <c r="E194" t="s">
        <v>101</v>
      </c>
      <c r="F194" s="3">
        <v>10.921569999999999</v>
      </c>
      <c r="G194" s="3">
        <v>-0.89048000000000005</v>
      </c>
      <c r="H194" s="5">
        <v>0.77</v>
      </c>
      <c r="I194" s="5">
        <v>0.36199999999999999</v>
      </c>
      <c r="J194" s="5">
        <v>-0.56399999999999995</v>
      </c>
      <c r="K194" s="5">
        <v>-0.39300000000000002</v>
      </c>
      <c r="L194" s="5">
        <v>1.357</v>
      </c>
      <c r="M194" s="5">
        <v>1.3560000000000001</v>
      </c>
      <c r="N194" s="5">
        <v>0.85299999999999998</v>
      </c>
      <c r="O194" s="5">
        <v>0.59799999999999998</v>
      </c>
      <c r="P194" s="5">
        <v>0.45500000000000002</v>
      </c>
      <c r="Q194" s="5">
        <v>0.66400000000000003</v>
      </c>
      <c r="R194" s="5">
        <v>0.41499999999999998</v>
      </c>
      <c r="S194" s="5">
        <v>0.33300000000000002</v>
      </c>
      <c r="T194" s="5">
        <v>0.29899999999999999</v>
      </c>
      <c r="U194" s="5">
        <v>0.53</v>
      </c>
      <c r="V194" s="5">
        <v>0.36399999999999999</v>
      </c>
      <c r="W194" t="s">
        <v>1322</v>
      </c>
      <c r="X194" t="s">
        <v>1323</v>
      </c>
      <c r="Y194" t="s">
        <v>1314</v>
      </c>
      <c r="Z194" t="s">
        <v>488</v>
      </c>
    </row>
    <row r="195" spans="1:26" x14ac:dyDescent="0.3">
      <c r="A195" t="s">
        <v>738</v>
      </c>
      <c r="B195" t="s">
        <v>315</v>
      </c>
      <c r="C195" t="s">
        <v>32</v>
      </c>
      <c r="D195" t="s">
        <v>490</v>
      </c>
      <c r="E195" t="s">
        <v>101</v>
      </c>
      <c r="F195" s="3">
        <v>10.921569999999999</v>
      </c>
      <c r="G195" s="3">
        <v>-0.89048000000000005</v>
      </c>
      <c r="H195" s="5">
        <v>0.77</v>
      </c>
      <c r="I195" s="5">
        <v>0.36199999999999999</v>
      </c>
      <c r="J195" s="5">
        <v>0.92100000000000004</v>
      </c>
      <c r="K195" s="5">
        <v>1.165</v>
      </c>
      <c r="L195" s="5">
        <v>2.383</v>
      </c>
      <c r="M195" s="5">
        <v>1.006</v>
      </c>
      <c r="N195" s="5">
        <v>0.74399999999999999</v>
      </c>
      <c r="O195" s="5">
        <v>0.92200000000000004</v>
      </c>
      <c r="P195" s="5">
        <v>0.72899999999999998</v>
      </c>
      <c r="Q195" s="5">
        <v>0.77700000000000002</v>
      </c>
      <c r="R195" s="5">
        <v>0.32600000000000001</v>
      </c>
      <c r="S195" s="5">
        <v>0.26100000000000001</v>
      </c>
      <c r="T195" s="5">
        <v>0.55800000000000005</v>
      </c>
      <c r="U195" s="5">
        <v>0.65100000000000002</v>
      </c>
      <c r="V195" s="5">
        <v>0.54300000000000004</v>
      </c>
      <c r="W195" t="s">
        <v>1322</v>
      </c>
      <c r="X195" t="s">
        <v>1323</v>
      </c>
      <c r="Y195" t="s">
        <v>1314</v>
      </c>
      <c r="Z195" t="s">
        <v>488</v>
      </c>
    </row>
    <row r="196" spans="1:26" x14ac:dyDescent="0.3">
      <c r="A196" t="s">
        <v>739</v>
      </c>
      <c r="B196" t="s">
        <v>318</v>
      </c>
      <c r="C196" t="s">
        <v>32</v>
      </c>
      <c r="D196" t="s">
        <v>484</v>
      </c>
      <c r="E196" t="s">
        <v>277</v>
      </c>
      <c r="F196" s="3">
        <v>10.360760000000001</v>
      </c>
      <c r="G196" s="3">
        <v>-1.40126</v>
      </c>
      <c r="H196" s="5">
        <v>0.73599999999999999</v>
      </c>
      <c r="I196" s="5">
        <v>0.44</v>
      </c>
      <c r="J196" s="5">
        <v>-0.78700000000000003</v>
      </c>
      <c r="K196" s="5">
        <v>-0.875</v>
      </c>
      <c r="L196" s="5">
        <v>1.218</v>
      </c>
      <c r="M196" s="5">
        <v>0.998</v>
      </c>
      <c r="N196" s="5">
        <v>0.752</v>
      </c>
      <c r="O196" s="5">
        <v>0.76900000000000002</v>
      </c>
      <c r="P196" s="5">
        <v>0.46</v>
      </c>
      <c r="Q196" s="5">
        <v>0.59799999999999998</v>
      </c>
      <c r="R196" s="5">
        <v>0.316</v>
      </c>
      <c r="S196" s="5">
        <v>0.15</v>
      </c>
      <c r="T196" s="5">
        <v>0.19400000000000001</v>
      </c>
      <c r="U196" s="5">
        <v>0.56399999999999995</v>
      </c>
      <c r="V196" s="5">
        <v>0.375</v>
      </c>
      <c r="W196" t="s">
        <v>1322</v>
      </c>
      <c r="X196" t="s">
        <v>1323</v>
      </c>
      <c r="Y196" t="s">
        <v>1315</v>
      </c>
      <c r="Z196" t="s">
        <v>488</v>
      </c>
    </row>
    <row r="197" spans="1:26" x14ac:dyDescent="0.3">
      <c r="A197" t="s">
        <v>740</v>
      </c>
      <c r="B197" t="s">
        <v>318</v>
      </c>
      <c r="C197" t="s">
        <v>32</v>
      </c>
      <c r="D197" t="s">
        <v>490</v>
      </c>
      <c r="E197" t="s">
        <v>277</v>
      </c>
      <c r="F197" s="3">
        <v>10.360760000000001</v>
      </c>
      <c r="G197" s="3">
        <v>-1.40126</v>
      </c>
      <c r="H197" s="5">
        <v>0.73599999999999999</v>
      </c>
      <c r="I197" s="5">
        <v>0.44</v>
      </c>
      <c r="J197" s="5">
        <v>1.512</v>
      </c>
      <c r="K197" s="5">
        <v>-0.39700000000000002</v>
      </c>
      <c r="L197" s="5">
        <v>2.508</v>
      </c>
      <c r="M197" s="5">
        <v>0.97799999999999998</v>
      </c>
      <c r="N197" s="5">
        <v>0.71399999999999997</v>
      </c>
      <c r="O197" s="5">
        <v>0.88300000000000001</v>
      </c>
      <c r="P197" s="5">
        <v>0.74099999999999999</v>
      </c>
      <c r="Q197" s="5">
        <v>0.72</v>
      </c>
      <c r="R197" s="5">
        <v>0.22700000000000001</v>
      </c>
      <c r="S197" s="5">
        <v>0.28999999999999998</v>
      </c>
      <c r="T197" s="5">
        <v>0.27300000000000002</v>
      </c>
      <c r="U197" s="5">
        <v>0.71699999999999997</v>
      </c>
      <c r="V197" s="5">
        <v>0.56399999999999995</v>
      </c>
      <c r="W197" t="s">
        <v>1322</v>
      </c>
      <c r="X197" t="s">
        <v>1323</v>
      </c>
      <c r="Y197" t="s">
        <v>1315</v>
      </c>
      <c r="Z197" t="s">
        <v>488</v>
      </c>
    </row>
    <row r="198" spans="1:26" x14ac:dyDescent="0.3">
      <c r="A198" t="s">
        <v>741</v>
      </c>
      <c r="B198" t="s">
        <v>320</v>
      </c>
      <c r="C198" t="s">
        <v>32</v>
      </c>
      <c r="D198" t="s">
        <v>484</v>
      </c>
      <c r="E198" t="s">
        <v>142</v>
      </c>
      <c r="F198" s="3">
        <v>10.503</v>
      </c>
      <c r="G198" s="3">
        <v>-7.2470000000000007E-2</v>
      </c>
      <c r="H198" s="5">
        <v>0.74399999999999999</v>
      </c>
      <c r="I198" s="5">
        <v>0.41699999999999998</v>
      </c>
      <c r="J198" s="5">
        <v>-0.45200000000000001</v>
      </c>
      <c r="K198" s="5">
        <v>-0.63300000000000001</v>
      </c>
      <c r="L198" s="5">
        <v>-2.1999999999999999E-2</v>
      </c>
      <c r="M198" s="5">
        <v>1.2869999999999999</v>
      </c>
      <c r="N198" s="5">
        <v>0.89300000000000002</v>
      </c>
      <c r="O198" s="5">
        <v>0.63300000000000001</v>
      </c>
      <c r="P198" s="5">
        <v>0.45700000000000002</v>
      </c>
      <c r="Q198" s="5">
        <v>0.36299999999999999</v>
      </c>
      <c r="R198" s="5">
        <v>0.33</v>
      </c>
      <c r="S198" s="5">
        <v>0.28799999999999998</v>
      </c>
      <c r="T198" s="5">
        <v>0.23499999999999999</v>
      </c>
      <c r="U198" s="5">
        <v>0.26800000000000002</v>
      </c>
      <c r="V198" s="5">
        <v>0.372</v>
      </c>
      <c r="W198" t="s">
        <v>1318</v>
      </c>
      <c r="X198" t="s">
        <v>1319</v>
      </c>
      <c r="Y198" t="s">
        <v>1315</v>
      </c>
      <c r="Z198" t="s">
        <v>488</v>
      </c>
    </row>
    <row r="199" spans="1:26" x14ac:dyDescent="0.3">
      <c r="A199" t="s">
        <v>742</v>
      </c>
      <c r="B199" t="s">
        <v>320</v>
      </c>
      <c r="C199" t="s">
        <v>32</v>
      </c>
      <c r="D199" t="s">
        <v>490</v>
      </c>
      <c r="E199" t="s">
        <v>142</v>
      </c>
      <c r="F199" s="3">
        <v>10.503</v>
      </c>
      <c r="G199" s="3">
        <v>-7.2470000000000007E-2</v>
      </c>
      <c r="H199" s="5">
        <v>0.74399999999999999</v>
      </c>
      <c r="I199" s="5">
        <v>0.41699999999999998</v>
      </c>
      <c r="J199" s="5">
        <v>1.272</v>
      </c>
      <c r="K199" s="5">
        <v>-9.2999999999999999E-2</v>
      </c>
      <c r="L199" s="5">
        <v>-0.34799999999999998</v>
      </c>
      <c r="M199" s="5">
        <v>1.077</v>
      </c>
      <c r="N199" s="5">
        <v>0.69899999999999995</v>
      </c>
      <c r="O199" s="5">
        <v>0.72599999999999998</v>
      </c>
      <c r="P199" s="5">
        <v>0.69899999999999995</v>
      </c>
      <c r="Q199" s="5">
        <v>0.45700000000000002</v>
      </c>
      <c r="R199" s="5">
        <v>0.32200000000000001</v>
      </c>
      <c r="S199" s="5">
        <v>0.185</v>
      </c>
      <c r="T199" s="5">
        <v>0.32500000000000001</v>
      </c>
      <c r="U199" s="5">
        <v>0.22900000000000001</v>
      </c>
      <c r="V199" s="5">
        <v>0.52500000000000002</v>
      </c>
      <c r="W199" t="s">
        <v>1318</v>
      </c>
      <c r="X199" t="s">
        <v>1319</v>
      </c>
      <c r="Y199" t="s">
        <v>1314</v>
      </c>
      <c r="Z199" t="s">
        <v>488</v>
      </c>
    </row>
    <row r="200" spans="1:26" x14ac:dyDescent="0.3">
      <c r="A200" t="s">
        <v>743</v>
      </c>
      <c r="B200" t="s">
        <v>322</v>
      </c>
      <c r="C200" t="s">
        <v>32</v>
      </c>
      <c r="D200" t="s">
        <v>484</v>
      </c>
      <c r="E200" t="s">
        <v>142</v>
      </c>
      <c r="F200" s="3">
        <v>10.796340000000001</v>
      </c>
      <c r="G200" s="3">
        <v>7.4410000000000004E-2</v>
      </c>
      <c r="H200" s="5">
        <v>0.71199999999999997</v>
      </c>
      <c r="I200" s="5">
        <v>9.7000000000000003E-2</v>
      </c>
      <c r="J200" s="5">
        <v>-1.0589999999999999</v>
      </c>
      <c r="K200" s="5">
        <v>0.93300000000000005</v>
      </c>
      <c r="L200" s="5">
        <v>-8.5000000000000006E-2</v>
      </c>
      <c r="M200" s="5">
        <v>1.0449999999999999</v>
      </c>
      <c r="N200" s="5">
        <v>0.629</v>
      </c>
      <c r="O200" s="5">
        <v>0.64500000000000002</v>
      </c>
      <c r="P200" s="5">
        <v>0.40699999999999997</v>
      </c>
      <c r="Q200" s="5">
        <v>0.317</v>
      </c>
      <c r="R200" s="5">
        <v>0.246</v>
      </c>
      <c r="S200" s="5">
        <v>0.182</v>
      </c>
      <c r="T200" s="5">
        <v>0.56100000000000005</v>
      </c>
      <c r="U200" s="5">
        <v>0.29799999999999999</v>
      </c>
      <c r="V200" s="5">
        <v>0.33500000000000002</v>
      </c>
      <c r="W200" t="s">
        <v>1316</v>
      </c>
      <c r="X200" t="s">
        <v>1317</v>
      </c>
      <c r="Y200" t="s">
        <v>1315</v>
      </c>
      <c r="Z200" t="s">
        <v>488</v>
      </c>
    </row>
    <row r="201" spans="1:26" x14ac:dyDescent="0.3">
      <c r="A201" t="s">
        <v>744</v>
      </c>
      <c r="B201" t="s">
        <v>322</v>
      </c>
      <c r="C201" t="s">
        <v>32</v>
      </c>
      <c r="D201" t="s">
        <v>490</v>
      </c>
      <c r="E201" t="s">
        <v>142</v>
      </c>
      <c r="F201" s="3">
        <v>10.796340000000001</v>
      </c>
      <c r="G201" s="3">
        <v>7.4410000000000004E-2</v>
      </c>
      <c r="H201" s="5">
        <v>0.71199999999999997</v>
      </c>
      <c r="I201" s="5">
        <v>9.7000000000000003E-2</v>
      </c>
      <c r="J201" s="5">
        <v>-0.01</v>
      </c>
      <c r="K201" s="5">
        <v>1.7909999999999999</v>
      </c>
      <c r="L201" s="5">
        <v>0.159</v>
      </c>
      <c r="M201" s="5">
        <v>0.995</v>
      </c>
      <c r="N201" s="5">
        <v>0.68300000000000005</v>
      </c>
      <c r="O201" s="5">
        <v>0.82599999999999996</v>
      </c>
      <c r="P201" s="5">
        <v>0.626</v>
      </c>
      <c r="Q201" s="5">
        <v>0.47199999999999998</v>
      </c>
      <c r="R201" s="5">
        <v>0.308</v>
      </c>
      <c r="S201" s="5">
        <v>0.26200000000000001</v>
      </c>
      <c r="T201" s="5">
        <v>0.70299999999999996</v>
      </c>
      <c r="U201" s="5">
        <v>0.32700000000000001</v>
      </c>
      <c r="V201" s="5">
        <v>0.46600000000000003</v>
      </c>
      <c r="W201" t="s">
        <v>1316</v>
      </c>
      <c r="X201" t="s">
        <v>1317</v>
      </c>
      <c r="Y201" t="s">
        <v>1315</v>
      </c>
      <c r="Z201" t="s">
        <v>488</v>
      </c>
    </row>
    <row r="202" spans="1:26" x14ac:dyDescent="0.3">
      <c r="A202" t="s">
        <v>745</v>
      </c>
      <c r="B202" t="s">
        <v>325</v>
      </c>
      <c r="C202" t="s">
        <v>32</v>
      </c>
      <c r="D202" t="s">
        <v>484</v>
      </c>
      <c r="E202" t="s">
        <v>101</v>
      </c>
      <c r="F202" s="3">
        <v>10.769019999999999</v>
      </c>
      <c r="G202" s="3">
        <v>9.8200000000000006E-3</v>
      </c>
      <c r="H202" s="5">
        <v>0.71599999999999997</v>
      </c>
      <c r="I202" s="5">
        <v>0.311</v>
      </c>
      <c r="J202" s="5">
        <v>-0.15</v>
      </c>
      <c r="K202" s="5">
        <v>0.54100000000000004</v>
      </c>
      <c r="L202" s="5">
        <v>0.40699999999999997</v>
      </c>
      <c r="M202" s="5">
        <v>1.4930000000000001</v>
      </c>
      <c r="N202" s="5">
        <v>0.66600000000000004</v>
      </c>
      <c r="O202" s="5">
        <v>0.60899999999999999</v>
      </c>
      <c r="P202" s="5">
        <v>0.45700000000000002</v>
      </c>
      <c r="Q202" s="5">
        <v>0.626</v>
      </c>
      <c r="R202" s="5">
        <v>0.25800000000000001</v>
      </c>
      <c r="S202" s="5">
        <v>0.36</v>
      </c>
      <c r="T202" s="5">
        <v>0.47399999999999998</v>
      </c>
      <c r="U202" s="5">
        <v>0.39700000000000002</v>
      </c>
      <c r="V202" s="5">
        <v>0.38</v>
      </c>
      <c r="W202" t="s">
        <v>1312</v>
      </c>
      <c r="X202" t="s">
        <v>1313</v>
      </c>
      <c r="Y202" t="s">
        <v>1315</v>
      </c>
      <c r="Z202" t="s">
        <v>488</v>
      </c>
    </row>
    <row r="203" spans="1:26" x14ac:dyDescent="0.3">
      <c r="A203" t="s">
        <v>746</v>
      </c>
      <c r="B203" t="s">
        <v>325</v>
      </c>
      <c r="C203" t="s">
        <v>32</v>
      </c>
      <c r="D203" t="s">
        <v>490</v>
      </c>
      <c r="E203" t="s">
        <v>101</v>
      </c>
      <c r="F203" s="3">
        <v>10.769019999999999</v>
      </c>
      <c r="G203" s="3">
        <v>9.8200000000000006E-3</v>
      </c>
      <c r="H203" s="5">
        <v>0.71599999999999997</v>
      </c>
      <c r="I203" s="5">
        <v>0.311</v>
      </c>
      <c r="J203" s="5">
        <v>0.42099999999999999</v>
      </c>
      <c r="K203" s="5">
        <v>0.73499999999999999</v>
      </c>
      <c r="L203" s="5">
        <v>1.3260000000000001</v>
      </c>
      <c r="M203" s="5">
        <v>0.76300000000000001</v>
      </c>
      <c r="N203" s="5">
        <v>0.57799999999999996</v>
      </c>
      <c r="O203" s="5">
        <v>0.752</v>
      </c>
      <c r="P203" s="5">
        <v>0.63900000000000001</v>
      </c>
      <c r="Q203" s="5">
        <v>0.74</v>
      </c>
      <c r="R203" s="5">
        <v>0.29599999999999999</v>
      </c>
      <c r="S203" s="5">
        <v>0.217</v>
      </c>
      <c r="T203" s="5">
        <v>0.50600000000000001</v>
      </c>
      <c r="U203" s="5">
        <v>0.50600000000000001</v>
      </c>
      <c r="V203" s="5">
        <v>0.47799999999999998</v>
      </c>
      <c r="W203" t="s">
        <v>1312</v>
      </c>
      <c r="X203" t="s">
        <v>1313</v>
      </c>
      <c r="Y203" t="s">
        <v>1315</v>
      </c>
      <c r="Z203" t="s">
        <v>488</v>
      </c>
    </row>
    <row r="204" spans="1:26" x14ac:dyDescent="0.3">
      <c r="A204" t="s">
        <v>747</v>
      </c>
      <c r="B204" t="s">
        <v>327</v>
      </c>
      <c r="C204" t="s">
        <v>32</v>
      </c>
      <c r="D204" t="s">
        <v>484</v>
      </c>
      <c r="E204" t="s">
        <v>142</v>
      </c>
      <c r="F204" s="3">
        <v>10.42328</v>
      </c>
      <c r="G204" s="3">
        <v>-1.4081699999999999</v>
      </c>
      <c r="H204" s="5">
        <v>0.81200000000000006</v>
      </c>
      <c r="I204" s="5">
        <v>0.26900000000000002</v>
      </c>
      <c r="J204" s="5">
        <v>0.01</v>
      </c>
      <c r="K204" s="5">
        <v>0.71499999999999997</v>
      </c>
      <c r="L204" s="5">
        <v>0.13</v>
      </c>
      <c r="M204" s="5">
        <v>1.19</v>
      </c>
      <c r="N204" s="5">
        <v>0.65900000000000003</v>
      </c>
      <c r="O204" s="5">
        <v>0.65100000000000002</v>
      </c>
      <c r="P204" s="5">
        <v>0.52100000000000002</v>
      </c>
      <c r="Q204" s="5">
        <v>0.38300000000000001</v>
      </c>
      <c r="R204" s="5">
        <v>0.28399999999999997</v>
      </c>
      <c r="S204" s="5">
        <v>0.21</v>
      </c>
      <c r="T204" s="5">
        <v>0.51800000000000002</v>
      </c>
      <c r="U204" s="5">
        <v>0.318</v>
      </c>
      <c r="V204" s="5">
        <v>0.41199999999999998</v>
      </c>
      <c r="W204" t="s">
        <v>1316</v>
      </c>
      <c r="X204" t="s">
        <v>1317</v>
      </c>
      <c r="Y204" t="s">
        <v>1315</v>
      </c>
      <c r="Z204" t="s">
        <v>488</v>
      </c>
    </row>
    <row r="205" spans="1:26" x14ac:dyDescent="0.3">
      <c r="A205" t="s">
        <v>748</v>
      </c>
      <c r="B205" t="s">
        <v>327</v>
      </c>
      <c r="C205" t="s">
        <v>32</v>
      </c>
      <c r="D205" t="s">
        <v>490</v>
      </c>
      <c r="E205" t="s">
        <v>142</v>
      </c>
      <c r="F205" s="3">
        <v>10.42328</v>
      </c>
      <c r="G205" s="3">
        <v>-1.4081699999999999</v>
      </c>
      <c r="H205" s="5">
        <v>0.81200000000000006</v>
      </c>
      <c r="I205" s="5">
        <v>0.26900000000000002</v>
      </c>
      <c r="J205" s="5">
        <v>1.67</v>
      </c>
      <c r="K205" s="5">
        <v>-6.0000000000000001E-3</v>
      </c>
      <c r="L205" s="5">
        <v>0.22500000000000001</v>
      </c>
      <c r="M205" s="5">
        <v>0.93300000000000005</v>
      </c>
      <c r="N205" s="5">
        <v>0.52500000000000002</v>
      </c>
      <c r="O205" s="5">
        <v>0.96399999999999997</v>
      </c>
      <c r="P205" s="5">
        <v>0.80300000000000005</v>
      </c>
      <c r="Q205" s="5">
        <v>0.45800000000000002</v>
      </c>
      <c r="R205" s="5">
        <v>0.35499999999999998</v>
      </c>
      <c r="S205" s="5">
        <v>0.19900000000000001</v>
      </c>
      <c r="T205" s="5">
        <v>0.39800000000000002</v>
      </c>
      <c r="U205" s="5">
        <v>0.32900000000000001</v>
      </c>
      <c r="V205" s="5">
        <v>0.59899999999999998</v>
      </c>
      <c r="W205" t="s">
        <v>1318</v>
      </c>
      <c r="X205" t="s">
        <v>1319</v>
      </c>
      <c r="Y205" t="s">
        <v>1314</v>
      </c>
      <c r="Z205" t="s">
        <v>488</v>
      </c>
    </row>
    <row r="206" spans="1:26" x14ac:dyDescent="0.3">
      <c r="A206" t="s">
        <v>749</v>
      </c>
      <c r="B206" t="s">
        <v>329</v>
      </c>
      <c r="C206" t="s">
        <v>32</v>
      </c>
      <c r="D206" t="s">
        <v>484</v>
      </c>
      <c r="E206" t="s">
        <v>142</v>
      </c>
      <c r="F206" s="3">
        <v>10.38265</v>
      </c>
      <c r="G206" s="3">
        <v>-8.9300000000000004E-2</v>
      </c>
      <c r="H206" s="5">
        <v>0.65100000000000002</v>
      </c>
      <c r="I206" s="5">
        <v>0.13600000000000001</v>
      </c>
      <c r="J206" s="5">
        <v>-1.0840000000000001</v>
      </c>
      <c r="K206" s="5">
        <v>-1.083</v>
      </c>
      <c r="L206" s="5">
        <v>4.9000000000000002E-2</v>
      </c>
      <c r="M206" s="5">
        <v>1.1439999999999999</v>
      </c>
      <c r="N206" s="5">
        <v>0.83699999999999997</v>
      </c>
      <c r="O206" s="5">
        <v>0.77500000000000002</v>
      </c>
      <c r="P206" s="5">
        <v>0.40200000000000002</v>
      </c>
      <c r="Q206" s="5">
        <v>0.435</v>
      </c>
      <c r="R206" s="5">
        <v>0.26900000000000002</v>
      </c>
      <c r="S206" s="5">
        <v>0.309</v>
      </c>
      <c r="T206" s="5">
        <v>9.7000000000000003E-2</v>
      </c>
      <c r="U206" s="5">
        <v>0.27500000000000002</v>
      </c>
      <c r="V206" s="5">
        <v>0.34499999999999997</v>
      </c>
      <c r="W206" t="s">
        <v>1312</v>
      </c>
      <c r="X206" t="s">
        <v>1313</v>
      </c>
      <c r="Y206" t="s">
        <v>1314</v>
      </c>
      <c r="Z206" t="s">
        <v>488</v>
      </c>
    </row>
    <row r="207" spans="1:26" x14ac:dyDescent="0.3">
      <c r="A207" t="s">
        <v>750</v>
      </c>
      <c r="B207" t="s">
        <v>329</v>
      </c>
      <c r="C207" t="s">
        <v>32</v>
      </c>
      <c r="D207" t="s">
        <v>490</v>
      </c>
      <c r="E207" t="s">
        <v>142</v>
      </c>
      <c r="F207" s="3">
        <v>10.38265</v>
      </c>
      <c r="G207" s="3">
        <v>-8.9300000000000004E-2</v>
      </c>
      <c r="H207" s="5">
        <v>0.65100000000000002</v>
      </c>
      <c r="I207" s="5">
        <v>0.13600000000000001</v>
      </c>
      <c r="J207" s="5">
        <v>0.86699999999999999</v>
      </c>
      <c r="K207" s="5">
        <v>-0.81699999999999995</v>
      </c>
      <c r="L207" s="5">
        <v>0.13900000000000001</v>
      </c>
      <c r="M207" s="5">
        <v>0.93</v>
      </c>
      <c r="N207" s="5">
        <v>0.79300000000000004</v>
      </c>
      <c r="O207" s="5">
        <v>0.71</v>
      </c>
      <c r="P207" s="5">
        <v>0.626</v>
      </c>
      <c r="Q207" s="5">
        <v>0.498</v>
      </c>
      <c r="R207" s="5">
        <v>0.27300000000000002</v>
      </c>
      <c r="S207" s="5">
        <v>0.17899999999999999</v>
      </c>
      <c r="T207" s="5">
        <v>0.14099999999999999</v>
      </c>
      <c r="U207" s="5">
        <v>0.28599999999999998</v>
      </c>
      <c r="V207" s="5">
        <v>0.48499999999999999</v>
      </c>
      <c r="W207" t="s">
        <v>1318</v>
      </c>
      <c r="X207" t="s">
        <v>1319</v>
      </c>
      <c r="Y207" t="s">
        <v>1315</v>
      </c>
      <c r="Z207" t="s">
        <v>488</v>
      </c>
    </row>
    <row r="208" spans="1:26" x14ac:dyDescent="0.3">
      <c r="A208" t="s">
        <v>751</v>
      </c>
      <c r="B208" t="s">
        <v>331</v>
      </c>
      <c r="C208" t="s">
        <v>32</v>
      </c>
      <c r="D208" t="s">
        <v>484</v>
      </c>
      <c r="E208" t="s">
        <v>142</v>
      </c>
      <c r="F208" s="3">
        <v>11.07056</v>
      </c>
      <c r="G208" s="3">
        <v>-0.40792</v>
      </c>
      <c r="H208" s="5">
        <v>0.70899999999999996</v>
      </c>
      <c r="I208" s="5">
        <v>8.4000000000000005E-2</v>
      </c>
      <c r="J208" s="5">
        <v>-1.1359999999999999</v>
      </c>
      <c r="K208" s="5">
        <v>-0.14000000000000001</v>
      </c>
      <c r="L208" s="5">
        <v>-0.39400000000000002</v>
      </c>
      <c r="M208" s="5">
        <v>0.94699999999999995</v>
      </c>
      <c r="N208" s="5">
        <v>0.58699999999999997</v>
      </c>
      <c r="O208" s="5">
        <v>0.67300000000000004</v>
      </c>
      <c r="P208" s="5">
        <v>0.40699999999999997</v>
      </c>
      <c r="Q208" s="5">
        <v>0.28399999999999997</v>
      </c>
      <c r="R208" s="5">
        <v>0.27700000000000002</v>
      </c>
      <c r="S208" s="5">
        <v>0.23300000000000001</v>
      </c>
      <c r="T208" s="5">
        <v>0.376</v>
      </c>
      <c r="U208" s="5">
        <v>0.24299999999999999</v>
      </c>
      <c r="V208" s="5">
        <v>0.33500000000000002</v>
      </c>
      <c r="W208" t="s">
        <v>1316</v>
      </c>
      <c r="X208" t="s">
        <v>1317</v>
      </c>
      <c r="Y208" t="s">
        <v>1315</v>
      </c>
      <c r="Z208" t="s">
        <v>488</v>
      </c>
    </row>
    <row r="209" spans="1:26" x14ac:dyDescent="0.3">
      <c r="A209" t="s">
        <v>752</v>
      </c>
      <c r="B209" t="s">
        <v>331</v>
      </c>
      <c r="C209" t="s">
        <v>32</v>
      </c>
      <c r="D209" t="s">
        <v>490</v>
      </c>
      <c r="E209" t="s">
        <v>142</v>
      </c>
      <c r="F209" s="3">
        <v>11.07056</v>
      </c>
      <c r="G209" s="3">
        <v>-0.40792</v>
      </c>
      <c r="H209" s="5">
        <v>0.70899999999999996</v>
      </c>
      <c r="I209" s="5">
        <v>8.4000000000000005E-2</v>
      </c>
      <c r="J209" s="5">
        <v>0.83599999999999997</v>
      </c>
      <c r="K209" s="5">
        <v>0.22800000000000001</v>
      </c>
      <c r="L209" s="5">
        <v>0.47799999999999998</v>
      </c>
      <c r="M209" s="5">
        <v>1.0269999999999999</v>
      </c>
      <c r="N209" s="5">
        <v>0.64900000000000002</v>
      </c>
      <c r="O209" s="5">
        <v>0.88600000000000001</v>
      </c>
      <c r="P209" s="5">
        <v>0.68700000000000006</v>
      </c>
      <c r="Q209" s="5">
        <v>0.505</v>
      </c>
      <c r="R209" s="5">
        <v>0.31900000000000001</v>
      </c>
      <c r="S209" s="5">
        <v>0.26900000000000002</v>
      </c>
      <c r="T209" s="5">
        <v>0.437</v>
      </c>
      <c r="U209" s="5">
        <v>0.34599999999999997</v>
      </c>
      <c r="V209" s="5">
        <v>0.52200000000000002</v>
      </c>
      <c r="W209" t="s">
        <v>1318</v>
      </c>
      <c r="X209" t="s">
        <v>1319</v>
      </c>
      <c r="Y209" t="s">
        <v>1314</v>
      </c>
      <c r="Z209" t="s">
        <v>488</v>
      </c>
    </row>
    <row r="210" spans="1:26" x14ac:dyDescent="0.3">
      <c r="A210" t="s">
        <v>753</v>
      </c>
      <c r="B210" t="s">
        <v>333</v>
      </c>
      <c r="C210" t="s">
        <v>32</v>
      </c>
      <c r="D210" t="s">
        <v>484</v>
      </c>
      <c r="E210" t="s">
        <v>277</v>
      </c>
      <c r="F210" s="3">
        <v>10.569940000000001</v>
      </c>
      <c r="G210" s="3">
        <v>-0.50205</v>
      </c>
      <c r="H210" s="5">
        <v>0.76</v>
      </c>
      <c r="I210" s="5">
        <v>0.41</v>
      </c>
      <c r="J210" s="5">
        <v>-1.3109999999999999</v>
      </c>
      <c r="K210" s="5">
        <v>0.60699999999999998</v>
      </c>
      <c r="L210" s="5">
        <v>0.69499999999999995</v>
      </c>
      <c r="M210" s="5">
        <v>1.6180000000000001</v>
      </c>
      <c r="N210" s="5">
        <v>0.88500000000000001</v>
      </c>
      <c r="O210" s="5">
        <v>0.60899999999999999</v>
      </c>
      <c r="P210" s="5">
        <v>0.40799999999999997</v>
      </c>
      <c r="Q210" s="5">
        <v>0.58599999999999997</v>
      </c>
      <c r="R210" s="5">
        <v>0.33900000000000002</v>
      </c>
      <c r="S210" s="5">
        <v>0.38700000000000001</v>
      </c>
      <c r="T210" s="5">
        <v>0.50800000000000001</v>
      </c>
      <c r="U210" s="5">
        <v>0.46600000000000003</v>
      </c>
      <c r="V210" s="5">
        <v>0.32300000000000001</v>
      </c>
      <c r="W210" t="s">
        <v>1316</v>
      </c>
      <c r="X210" t="s">
        <v>1317</v>
      </c>
      <c r="Y210" t="s">
        <v>1315</v>
      </c>
      <c r="Z210" t="s">
        <v>488</v>
      </c>
    </row>
    <row r="211" spans="1:26" x14ac:dyDescent="0.3">
      <c r="A211" t="s">
        <v>754</v>
      </c>
      <c r="B211" t="s">
        <v>333</v>
      </c>
      <c r="C211" t="s">
        <v>32</v>
      </c>
      <c r="D211" t="s">
        <v>490</v>
      </c>
      <c r="E211" t="s">
        <v>277</v>
      </c>
      <c r="F211" s="3">
        <v>10.569940000000001</v>
      </c>
      <c r="G211" s="3">
        <v>-0.50205</v>
      </c>
      <c r="H211" s="5">
        <v>0.76</v>
      </c>
      <c r="I211" s="5">
        <v>0.41</v>
      </c>
      <c r="J211" s="5">
        <v>1.798</v>
      </c>
      <c r="K211" s="5">
        <v>1.121</v>
      </c>
      <c r="L211" s="5">
        <v>2.34</v>
      </c>
      <c r="M211" s="5">
        <v>1.111</v>
      </c>
      <c r="N211" s="5">
        <v>0.83399999999999996</v>
      </c>
      <c r="O211" s="5">
        <v>0.77500000000000002</v>
      </c>
      <c r="P211" s="5">
        <v>0.748</v>
      </c>
      <c r="Q211" s="5">
        <v>0.71499999999999997</v>
      </c>
      <c r="R211" s="5">
        <v>0.28799999999999998</v>
      </c>
      <c r="S211" s="5">
        <v>0.27400000000000002</v>
      </c>
      <c r="T211" s="5">
        <v>0.59399999999999997</v>
      </c>
      <c r="U211" s="5">
        <v>0.66</v>
      </c>
      <c r="V211" s="5">
        <v>0.56599999999999995</v>
      </c>
      <c r="W211" t="s">
        <v>1322</v>
      </c>
      <c r="X211" t="s">
        <v>1323</v>
      </c>
      <c r="Y211" t="s">
        <v>1315</v>
      </c>
      <c r="Z211" t="s">
        <v>488</v>
      </c>
    </row>
    <row r="212" spans="1:26" x14ac:dyDescent="0.3">
      <c r="A212" t="s">
        <v>755</v>
      </c>
      <c r="B212" t="s">
        <v>335</v>
      </c>
      <c r="C212" t="s">
        <v>32</v>
      </c>
      <c r="D212" t="s">
        <v>484</v>
      </c>
      <c r="E212" t="s">
        <v>277</v>
      </c>
      <c r="F212" s="3">
        <v>10.997249999999999</v>
      </c>
      <c r="G212" s="3">
        <v>-1.3167899999999999</v>
      </c>
      <c r="H212" s="5">
        <v>0.85799999999999998</v>
      </c>
      <c r="I212" s="5">
        <v>0.21199999999999999</v>
      </c>
      <c r="J212" s="5">
        <v>-0.69199999999999995</v>
      </c>
      <c r="K212" s="5">
        <v>-0.45</v>
      </c>
      <c r="L212" s="5">
        <v>2.5099999999999998</v>
      </c>
      <c r="M212" s="5">
        <v>1.1000000000000001</v>
      </c>
      <c r="N212" s="5">
        <v>0.79</v>
      </c>
      <c r="O212" s="5">
        <v>0.86399999999999999</v>
      </c>
      <c r="P212" s="5">
        <v>0.54300000000000004</v>
      </c>
      <c r="Q212" s="5">
        <v>0.70599999999999996</v>
      </c>
      <c r="R212" s="5">
        <v>0.28299999999999997</v>
      </c>
      <c r="S212" s="5">
        <v>0.308</v>
      </c>
      <c r="T212" s="5">
        <v>0.26200000000000001</v>
      </c>
      <c r="U212" s="5">
        <v>0.66500000000000004</v>
      </c>
      <c r="V212" s="5">
        <v>0.41699999999999998</v>
      </c>
      <c r="W212" t="s">
        <v>1322</v>
      </c>
      <c r="X212" t="s">
        <v>1323</v>
      </c>
      <c r="Y212" t="s">
        <v>1314</v>
      </c>
      <c r="Z212" t="s">
        <v>488</v>
      </c>
    </row>
    <row r="213" spans="1:26" x14ac:dyDescent="0.3">
      <c r="A213" t="s">
        <v>756</v>
      </c>
      <c r="B213" t="s">
        <v>335</v>
      </c>
      <c r="C213" t="s">
        <v>32</v>
      </c>
      <c r="D213" t="s">
        <v>490</v>
      </c>
      <c r="E213" t="s">
        <v>277</v>
      </c>
      <c r="F213" s="3">
        <v>10.997249999999999</v>
      </c>
      <c r="G213" s="3">
        <v>-1.3167899999999999</v>
      </c>
      <c r="H213" s="5">
        <v>0.85799999999999998</v>
      </c>
      <c r="I213" s="5">
        <v>0.21199999999999999</v>
      </c>
      <c r="J213" s="5">
        <v>1.089</v>
      </c>
      <c r="K213" s="5">
        <v>0.41399999999999998</v>
      </c>
      <c r="L213" s="5">
        <v>3.6989999999999998</v>
      </c>
      <c r="M213" s="5">
        <v>1.2010000000000001</v>
      </c>
      <c r="N213" s="5">
        <v>0.83599999999999997</v>
      </c>
      <c r="O213" s="5">
        <v>0.755</v>
      </c>
      <c r="P213" s="5">
        <v>0.748</v>
      </c>
      <c r="Q213" s="5">
        <v>0.68500000000000005</v>
      </c>
      <c r="R213" s="5">
        <v>0.28699999999999998</v>
      </c>
      <c r="S213" s="5">
        <v>0.251</v>
      </c>
      <c r="T213" s="5">
        <v>0.40600000000000003</v>
      </c>
      <c r="U213" s="5">
        <v>0.80600000000000005</v>
      </c>
      <c r="V213" s="5">
        <v>0.53900000000000003</v>
      </c>
      <c r="W213" t="s">
        <v>1322</v>
      </c>
      <c r="X213" t="s">
        <v>1323</v>
      </c>
      <c r="Y213" t="s">
        <v>1315</v>
      </c>
      <c r="Z213" t="s">
        <v>488</v>
      </c>
    </row>
    <row r="214" spans="1:26" x14ac:dyDescent="0.3">
      <c r="A214" t="s">
        <v>757</v>
      </c>
      <c r="B214" t="s">
        <v>337</v>
      </c>
      <c r="C214" t="s">
        <v>32</v>
      </c>
      <c r="D214" t="s">
        <v>484</v>
      </c>
      <c r="E214" t="s">
        <v>142</v>
      </c>
      <c r="F214" s="3">
        <v>10.667210000000001</v>
      </c>
      <c r="G214" s="3">
        <v>-0.16661999999999999</v>
      </c>
      <c r="H214" s="5">
        <v>0.77900000000000003</v>
      </c>
      <c r="I214" s="5">
        <v>0.05</v>
      </c>
      <c r="J214" s="5">
        <v>-0.63600000000000001</v>
      </c>
      <c r="K214" s="5">
        <v>-0.82199999999999995</v>
      </c>
      <c r="L214" s="5">
        <v>0.60699999999999998</v>
      </c>
      <c r="M214" s="5">
        <v>0.873</v>
      </c>
      <c r="N214" s="5">
        <v>0.65600000000000003</v>
      </c>
      <c r="O214" s="5">
        <v>0.91700000000000004</v>
      </c>
      <c r="P214" s="5">
        <v>0.51900000000000002</v>
      </c>
      <c r="Q214" s="5">
        <v>0.34</v>
      </c>
      <c r="R214" s="5">
        <v>0.27400000000000002</v>
      </c>
      <c r="S214" s="5">
        <v>0.155</v>
      </c>
      <c r="T214" s="5">
        <v>0.17100000000000001</v>
      </c>
      <c r="U214" s="5">
        <v>0.40799999999999997</v>
      </c>
      <c r="V214" s="5">
        <v>0.41599999999999998</v>
      </c>
      <c r="W214" t="s">
        <v>1318</v>
      </c>
      <c r="X214" t="s">
        <v>1319</v>
      </c>
      <c r="Y214" t="s">
        <v>1315</v>
      </c>
      <c r="Z214" t="s">
        <v>488</v>
      </c>
    </row>
    <row r="215" spans="1:26" x14ac:dyDescent="0.3">
      <c r="A215" t="s">
        <v>758</v>
      </c>
      <c r="B215" t="s">
        <v>337</v>
      </c>
      <c r="C215" t="s">
        <v>32</v>
      </c>
      <c r="D215" t="s">
        <v>490</v>
      </c>
      <c r="E215" t="s">
        <v>142</v>
      </c>
      <c r="F215" s="3">
        <v>10.667210000000001</v>
      </c>
      <c r="G215" s="3">
        <v>-0.16661999999999999</v>
      </c>
      <c r="H215" s="5">
        <v>0.77900000000000003</v>
      </c>
      <c r="I215" s="5">
        <v>0.05</v>
      </c>
      <c r="J215" s="5">
        <v>1.2589999999999999</v>
      </c>
      <c r="K215" s="5">
        <v>0.33800000000000002</v>
      </c>
      <c r="L215" s="5">
        <v>1.73</v>
      </c>
      <c r="M215" s="5">
        <v>1.016</v>
      </c>
      <c r="N215" s="5">
        <v>0.72099999999999997</v>
      </c>
      <c r="O215" s="5">
        <v>0.755</v>
      </c>
      <c r="P215" s="5">
        <v>0.72099999999999997</v>
      </c>
      <c r="Q215" s="5">
        <v>0.47199999999999998</v>
      </c>
      <c r="R215" s="5">
        <v>0.32600000000000001</v>
      </c>
      <c r="S215" s="5">
        <v>0.16500000000000001</v>
      </c>
      <c r="T215" s="5">
        <v>0.36399999999999999</v>
      </c>
      <c r="U215" s="5">
        <v>0.54</v>
      </c>
      <c r="V215" s="5">
        <v>0.53600000000000003</v>
      </c>
      <c r="W215" t="s">
        <v>1322</v>
      </c>
      <c r="X215" t="s">
        <v>1323</v>
      </c>
      <c r="Y215" t="s">
        <v>1315</v>
      </c>
      <c r="Z215" t="s">
        <v>488</v>
      </c>
    </row>
    <row r="216" spans="1:26" x14ac:dyDescent="0.3">
      <c r="A216" t="s">
        <v>759</v>
      </c>
      <c r="B216" t="s">
        <v>339</v>
      </c>
      <c r="C216" t="s">
        <v>32</v>
      </c>
      <c r="D216" t="s">
        <v>484</v>
      </c>
      <c r="E216" t="s">
        <v>101</v>
      </c>
      <c r="F216" s="3">
        <v>11.006919999999999</v>
      </c>
      <c r="G216" s="3">
        <v>-0.16744999999999999</v>
      </c>
      <c r="H216" s="5">
        <v>0.77600000000000002</v>
      </c>
      <c r="I216" s="5">
        <v>0.33400000000000002</v>
      </c>
      <c r="J216" s="5">
        <v>0.13300000000000001</v>
      </c>
      <c r="K216" s="5">
        <v>0.47699999999999998</v>
      </c>
      <c r="L216" s="5">
        <v>3.5590000000000002</v>
      </c>
      <c r="M216" s="5">
        <v>1.3069999999999999</v>
      </c>
      <c r="N216" s="5">
        <v>0.77300000000000002</v>
      </c>
      <c r="O216" s="5">
        <v>0.68899999999999995</v>
      </c>
      <c r="P216" s="5">
        <v>0.51800000000000002</v>
      </c>
      <c r="Q216" s="5">
        <v>0.67100000000000004</v>
      </c>
      <c r="R216" s="5">
        <v>0.33900000000000002</v>
      </c>
      <c r="S216" s="5">
        <v>0.35899999999999999</v>
      </c>
      <c r="T216" s="5">
        <v>0.47899999999999998</v>
      </c>
      <c r="U216" s="5">
        <v>0.79800000000000004</v>
      </c>
      <c r="V216" s="5">
        <v>0.41899999999999998</v>
      </c>
      <c r="W216" t="s">
        <v>1322</v>
      </c>
      <c r="X216" t="s">
        <v>1323</v>
      </c>
      <c r="Y216" t="s">
        <v>1315</v>
      </c>
      <c r="Z216" t="s">
        <v>488</v>
      </c>
    </row>
    <row r="217" spans="1:26" x14ac:dyDescent="0.3">
      <c r="A217" t="s">
        <v>760</v>
      </c>
      <c r="B217" t="s">
        <v>339</v>
      </c>
      <c r="C217" t="s">
        <v>32</v>
      </c>
      <c r="D217" t="s">
        <v>490</v>
      </c>
      <c r="E217" t="s">
        <v>101</v>
      </c>
      <c r="F217" s="3">
        <v>11.006919999999999</v>
      </c>
      <c r="G217" s="3">
        <v>-0.16744999999999999</v>
      </c>
      <c r="H217" s="5">
        <v>0.77600000000000002</v>
      </c>
      <c r="I217" s="5">
        <v>0.33400000000000002</v>
      </c>
      <c r="J217" s="5">
        <v>1.6559999999999999</v>
      </c>
      <c r="K217" s="5">
        <v>1.0389999999999999</v>
      </c>
      <c r="L217" s="5">
        <v>4.4340000000000002</v>
      </c>
      <c r="M217" s="5">
        <v>1.137</v>
      </c>
      <c r="N217" s="5">
        <v>0.76800000000000002</v>
      </c>
      <c r="O217" s="5">
        <v>0.89700000000000002</v>
      </c>
      <c r="P217" s="5">
        <v>0.77100000000000002</v>
      </c>
      <c r="Q217" s="5">
        <v>0.72699999999999998</v>
      </c>
      <c r="R217" s="5">
        <v>0.26600000000000001</v>
      </c>
      <c r="S217" s="5">
        <v>0.32600000000000001</v>
      </c>
      <c r="T217" s="5">
        <v>0.57299999999999995</v>
      </c>
      <c r="U217" s="5">
        <v>0.90100000000000002</v>
      </c>
      <c r="V217" s="5">
        <v>0.58099999999999996</v>
      </c>
      <c r="W217" t="s">
        <v>1322</v>
      </c>
      <c r="X217" t="s">
        <v>1323</v>
      </c>
      <c r="Y217" t="s">
        <v>1315</v>
      </c>
      <c r="Z217" t="s">
        <v>488</v>
      </c>
    </row>
    <row r="218" spans="1:26" x14ac:dyDescent="0.3">
      <c r="A218" t="s">
        <v>761</v>
      </c>
      <c r="B218" t="s">
        <v>341</v>
      </c>
      <c r="C218" t="s">
        <v>32</v>
      </c>
      <c r="D218" t="s">
        <v>484</v>
      </c>
      <c r="E218" t="s">
        <v>142</v>
      </c>
      <c r="F218" s="3">
        <v>10.58803</v>
      </c>
      <c r="G218" s="3">
        <v>-0.79293000000000002</v>
      </c>
      <c r="H218" s="5">
        <v>0.71899999999999997</v>
      </c>
      <c r="I218" s="5">
        <v>0.128</v>
      </c>
      <c r="J218" s="5">
        <v>-0.97899999999999998</v>
      </c>
      <c r="K218" s="5">
        <v>-0.995</v>
      </c>
      <c r="L218" s="5">
        <v>4.8000000000000001E-2</v>
      </c>
      <c r="M218" s="5">
        <v>1.234</v>
      </c>
      <c r="N218" s="5">
        <v>0.77300000000000002</v>
      </c>
      <c r="O218" s="5">
        <v>0.60899999999999999</v>
      </c>
      <c r="P218" s="5">
        <v>0.40799999999999997</v>
      </c>
      <c r="Q218" s="5">
        <v>0.35899999999999999</v>
      </c>
      <c r="R218" s="5">
        <v>0.32700000000000001</v>
      </c>
      <c r="S218" s="5">
        <v>0.33400000000000002</v>
      </c>
      <c r="T218" s="5">
        <v>8.4000000000000005E-2</v>
      </c>
      <c r="U218" s="5">
        <v>0.36699999999999999</v>
      </c>
      <c r="V218" s="5">
        <v>0.33400000000000002</v>
      </c>
      <c r="W218" t="s">
        <v>1322</v>
      </c>
      <c r="X218" t="s">
        <v>1323</v>
      </c>
      <c r="Y218" t="s">
        <v>1315</v>
      </c>
      <c r="Z218" t="s">
        <v>488</v>
      </c>
    </row>
    <row r="219" spans="1:26" x14ac:dyDescent="0.3">
      <c r="A219" t="s">
        <v>762</v>
      </c>
      <c r="B219" t="s">
        <v>341</v>
      </c>
      <c r="C219" t="s">
        <v>32</v>
      </c>
      <c r="D219" t="s">
        <v>490</v>
      </c>
      <c r="E219" t="s">
        <v>142</v>
      </c>
      <c r="F219" s="3">
        <v>10.58803</v>
      </c>
      <c r="G219" s="3">
        <v>-0.79293000000000002</v>
      </c>
      <c r="H219" s="5">
        <v>0.71899999999999997</v>
      </c>
      <c r="I219" s="5">
        <v>0.128</v>
      </c>
      <c r="J219" s="5">
        <v>0.63300000000000001</v>
      </c>
      <c r="K219" s="5">
        <v>-0.35399999999999998</v>
      </c>
      <c r="L219" s="5">
        <v>1.5409999999999999</v>
      </c>
      <c r="M219" s="5">
        <v>1.1200000000000001</v>
      </c>
      <c r="N219" s="5">
        <v>0.76</v>
      </c>
      <c r="O219" s="5">
        <v>1.0469999999999999</v>
      </c>
      <c r="P219" s="5">
        <v>0.71199999999999997</v>
      </c>
      <c r="Q219" s="5">
        <v>0.46300000000000002</v>
      </c>
      <c r="R219" s="5">
        <v>0.26800000000000002</v>
      </c>
      <c r="S219" s="5">
        <v>0.317</v>
      </c>
      <c r="T219" s="5">
        <v>0.191</v>
      </c>
      <c r="U219" s="5">
        <v>0.54300000000000004</v>
      </c>
      <c r="V219" s="5">
        <v>0.54</v>
      </c>
      <c r="W219" t="s">
        <v>1322</v>
      </c>
      <c r="X219" t="s">
        <v>1323</v>
      </c>
      <c r="Y219" t="s">
        <v>1314</v>
      </c>
      <c r="Z219" t="s">
        <v>488</v>
      </c>
    </row>
    <row r="220" spans="1:26" x14ac:dyDescent="0.3">
      <c r="A220" t="s">
        <v>764</v>
      </c>
      <c r="B220" t="s">
        <v>343</v>
      </c>
      <c r="C220" t="s">
        <v>32</v>
      </c>
      <c r="D220" t="s">
        <v>484</v>
      </c>
      <c r="E220" t="s">
        <v>277</v>
      </c>
      <c r="F220" s="3">
        <v>11.05185</v>
      </c>
      <c r="G220" s="3">
        <v>-0.30375999999999997</v>
      </c>
      <c r="H220" s="5">
        <v>0.71599999999999997</v>
      </c>
      <c r="I220" s="5">
        <v>0.189</v>
      </c>
      <c r="J220" s="5">
        <v>-1.0549999999999999</v>
      </c>
      <c r="K220" s="5">
        <v>-0.49299999999999999</v>
      </c>
      <c r="L220" s="5">
        <v>0.154</v>
      </c>
      <c r="M220" s="5">
        <v>1.218</v>
      </c>
      <c r="N220" s="5">
        <v>0.76700000000000002</v>
      </c>
      <c r="O220" s="5">
        <v>0.56699999999999995</v>
      </c>
      <c r="P220" s="5">
        <v>0.39400000000000002</v>
      </c>
      <c r="Q220" s="5">
        <v>0.65400000000000003</v>
      </c>
      <c r="R220" s="5">
        <v>0.28899999999999998</v>
      </c>
      <c r="S220" s="5">
        <v>0.27400000000000002</v>
      </c>
      <c r="T220" s="5">
        <v>0.26300000000000001</v>
      </c>
      <c r="U220" s="5">
        <v>0.33</v>
      </c>
      <c r="V220" s="5">
        <v>0.32300000000000001</v>
      </c>
      <c r="W220" t="s">
        <v>1312</v>
      </c>
      <c r="X220" t="s">
        <v>1313</v>
      </c>
      <c r="Y220" t="s">
        <v>1314</v>
      </c>
      <c r="Z220" t="s">
        <v>488</v>
      </c>
    </row>
    <row r="221" spans="1:26" x14ac:dyDescent="0.3">
      <c r="A221" t="s">
        <v>765</v>
      </c>
      <c r="B221" t="s">
        <v>343</v>
      </c>
      <c r="C221" t="s">
        <v>32</v>
      </c>
      <c r="D221" t="s">
        <v>490</v>
      </c>
      <c r="E221" t="s">
        <v>277</v>
      </c>
      <c r="F221" s="3">
        <v>11.05185</v>
      </c>
      <c r="G221" s="3">
        <v>-0.30375999999999997</v>
      </c>
      <c r="H221" s="5">
        <v>0.71599999999999997</v>
      </c>
      <c r="I221" s="5">
        <v>0.189</v>
      </c>
      <c r="J221" s="5">
        <v>0.83399999999999996</v>
      </c>
      <c r="K221" s="5">
        <v>-0.248</v>
      </c>
      <c r="L221" s="5">
        <v>0.36699999999999999</v>
      </c>
      <c r="M221" s="5">
        <v>1.1120000000000001</v>
      </c>
      <c r="N221" s="5">
        <v>0.85299999999999998</v>
      </c>
      <c r="O221" s="5">
        <v>0.70199999999999996</v>
      </c>
      <c r="P221" s="5">
        <v>0.65400000000000003</v>
      </c>
      <c r="Q221" s="5">
        <v>0.76900000000000002</v>
      </c>
      <c r="R221" s="5">
        <v>0.28999999999999998</v>
      </c>
      <c r="S221" s="5">
        <v>0.30299999999999999</v>
      </c>
      <c r="T221" s="5">
        <v>0.30299999999999999</v>
      </c>
      <c r="U221" s="5">
        <v>0.35499999999999998</v>
      </c>
      <c r="V221" s="5">
        <v>0.49199999999999999</v>
      </c>
      <c r="W221" t="s">
        <v>1312</v>
      </c>
      <c r="X221" t="s">
        <v>1313</v>
      </c>
      <c r="Y221" t="s">
        <v>1314</v>
      </c>
      <c r="Z221" t="s">
        <v>488</v>
      </c>
    </row>
    <row r="222" spans="1:26" x14ac:dyDescent="0.3">
      <c r="A222" t="s">
        <v>766</v>
      </c>
      <c r="B222" t="s">
        <v>345</v>
      </c>
      <c r="C222" t="s">
        <v>32</v>
      </c>
      <c r="D222" t="s">
        <v>484</v>
      </c>
      <c r="E222" t="s">
        <v>277</v>
      </c>
      <c r="F222" s="3">
        <v>10.675520000000001</v>
      </c>
      <c r="G222" s="3">
        <v>-0.86729000000000001</v>
      </c>
      <c r="H222" s="5">
        <v>0.76600000000000001</v>
      </c>
      <c r="I222" s="5">
        <v>0.41599999999999998</v>
      </c>
      <c r="J222" s="5">
        <v>-0.71099999999999997</v>
      </c>
      <c r="K222" s="5">
        <v>-0.436</v>
      </c>
      <c r="L222" s="5">
        <v>-0.54100000000000004</v>
      </c>
      <c r="M222" s="5">
        <v>1.1830000000000001</v>
      </c>
      <c r="N222" s="5">
        <v>0.76600000000000001</v>
      </c>
      <c r="O222" s="5">
        <v>0.74</v>
      </c>
      <c r="P222" s="5">
        <v>0.47299999999999998</v>
      </c>
      <c r="Q222" s="5">
        <v>0.67900000000000005</v>
      </c>
      <c r="R222" s="5">
        <v>0.23</v>
      </c>
      <c r="S222" s="5">
        <v>0.316</v>
      </c>
      <c r="T222" s="5">
        <v>0.25700000000000001</v>
      </c>
      <c r="U222" s="5">
        <v>0.20300000000000001</v>
      </c>
      <c r="V222" s="5">
        <v>0.379</v>
      </c>
      <c r="W222" t="s">
        <v>1312</v>
      </c>
      <c r="X222" t="s">
        <v>1313</v>
      </c>
      <c r="Y222" t="s">
        <v>1314</v>
      </c>
      <c r="Z222" t="s">
        <v>488</v>
      </c>
    </row>
    <row r="223" spans="1:26" x14ac:dyDescent="0.3">
      <c r="A223" t="s">
        <v>767</v>
      </c>
      <c r="B223" t="s">
        <v>345</v>
      </c>
      <c r="C223" t="s">
        <v>32</v>
      </c>
      <c r="D223" t="s">
        <v>490</v>
      </c>
      <c r="E223" t="s">
        <v>277</v>
      </c>
      <c r="F223" s="3">
        <v>10.675520000000001</v>
      </c>
      <c r="G223" s="3">
        <v>-0.86729000000000001</v>
      </c>
      <c r="H223" s="5">
        <v>0.76600000000000001</v>
      </c>
      <c r="I223" s="5">
        <v>0.41599999999999998</v>
      </c>
      <c r="J223" s="5">
        <v>1.5609999999999999</v>
      </c>
      <c r="K223" s="5">
        <v>0.39300000000000002</v>
      </c>
      <c r="L223" s="5">
        <v>0.61099999999999999</v>
      </c>
      <c r="M223" s="5">
        <v>0.871</v>
      </c>
      <c r="N223" s="5">
        <v>0.65200000000000002</v>
      </c>
      <c r="O223" s="5">
        <v>0.94</v>
      </c>
      <c r="P223" s="5">
        <v>0.77</v>
      </c>
      <c r="Q223" s="5">
        <v>0.746</v>
      </c>
      <c r="R223" s="5">
        <v>0.36199999999999999</v>
      </c>
      <c r="S223" s="5">
        <v>0.16900000000000001</v>
      </c>
      <c r="T223" s="5">
        <v>0.39500000000000002</v>
      </c>
      <c r="U223" s="5">
        <v>0.33900000000000002</v>
      </c>
      <c r="V223" s="5">
        <v>0.58199999999999996</v>
      </c>
      <c r="W223" t="s">
        <v>1318</v>
      </c>
      <c r="X223" t="s">
        <v>1319</v>
      </c>
      <c r="Y223" t="s">
        <v>1315</v>
      </c>
      <c r="Z223" t="s">
        <v>488</v>
      </c>
    </row>
    <row r="224" spans="1:26" x14ac:dyDescent="0.3">
      <c r="A224" t="s">
        <v>768</v>
      </c>
      <c r="B224" t="s">
        <v>347</v>
      </c>
      <c r="C224" t="s">
        <v>32</v>
      </c>
      <c r="D224" t="s">
        <v>484</v>
      </c>
      <c r="E224" t="s">
        <v>101</v>
      </c>
      <c r="F224" s="3">
        <v>10.6928</v>
      </c>
      <c r="G224" s="3">
        <v>-0.76658000000000004</v>
      </c>
      <c r="H224" s="5">
        <v>0.80300000000000005</v>
      </c>
      <c r="I224" s="5">
        <v>0.33900000000000002</v>
      </c>
      <c r="J224" s="5">
        <v>0.22500000000000001</v>
      </c>
      <c r="K224" s="5">
        <v>2.9950000000000001</v>
      </c>
      <c r="L224" s="5">
        <v>4.7E-2</v>
      </c>
      <c r="M224" s="5">
        <v>1.1140000000000001</v>
      </c>
      <c r="N224" s="5">
        <v>0.68100000000000005</v>
      </c>
      <c r="O224" s="5">
        <v>0.78600000000000003</v>
      </c>
      <c r="P224" s="5">
        <v>0.55600000000000005</v>
      </c>
      <c r="Q224" s="5">
        <v>0.58499999999999996</v>
      </c>
      <c r="R224" s="5">
        <v>0.35699999999999998</v>
      </c>
      <c r="S224" s="5">
        <v>0.32100000000000001</v>
      </c>
      <c r="T224" s="5">
        <v>0.91400000000000003</v>
      </c>
      <c r="U224" s="5">
        <v>0.36899999999999999</v>
      </c>
      <c r="V224" s="5">
        <v>0.44500000000000001</v>
      </c>
      <c r="W224" t="s">
        <v>1316</v>
      </c>
      <c r="X224" t="s">
        <v>1317</v>
      </c>
      <c r="Y224" t="s">
        <v>1315</v>
      </c>
      <c r="Z224" t="s">
        <v>543</v>
      </c>
    </row>
    <row r="225" spans="1:26" x14ac:dyDescent="0.3">
      <c r="A225" t="s">
        <v>769</v>
      </c>
      <c r="B225" t="s">
        <v>347</v>
      </c>
      <c r="C225" t="s">
        <v>32</v>
      </c>
      <c r="D225" t="s">
        <v>490</v>
      </c>
      <c r="E225" t="s">
        <v>101</v>
      </c>
      <c r="F225" s="3">
        <v>10.6928</v>
      </c>
      <c r="G225" s="3">
        <v>-0.76658000000000004</v>
      </c>
      <c r="H225" s="5">
        <v>0.80300000000000005</v>
      </c>
      <c r="I225" s="5">
        <v>0.33900000000000002</v>
      </c>
      <c r="J225" s="5">
        <v>2.1840000000000002</v>
      </c>
      <c r="K225" s="5">
        <v>2.895</v>
      </c>
      <c r="L225" s="5">
        <v>0.93300000000000005</v>
      </c>
      <c r="M225" s="5">
        <v>0.93300000000000005</v>
      </c>
      <c r="N225" s="5">
        <v>0.78100000000000003</v>
      </c>
      <c r="O225" s="5">
        <v>0.83099999999999996</v>
      </c>
      <c r="P225" s="5">
        <v>0.80200000000000005</v>
      </c>
      <c r="Q225" s="5">
        <v>0.77600000000000002</v>
      </c>
      <c r="R225" s="5">
        <v>0.28299999999999997</v>
      </c>
      <c r="S225" s="5">
        <v>0.20100000000000001</v>
      </c>
      <c r="T225" s="5">
        <v>0.89700000000000002</v>
      </c>
      <c r="U225" s="5">
        <v>0.47299999999999998</v>
      </c>
      <c r="V225" s="5">
        <v>0.60399999999999998</v>
      </c>
      <c r="W225" t="s">
        <v>1316</v>
      </c>
      <c r="X225" t="s">
        <v>1317</v>
      </c>
      <c r="Y225" t="s">
        <v>1315</v>
      </c>
      <c r="Z225" t="s">
        <v>517</v>
      </c>
    </row>
    <row r="226" spans="1:26" x14ac:dyDescent="0.3">
      <c r="A226" t="s">
        <v>770</v>
      </c>
      <c r="B226" t="s">
        <v>349</v>
      </c>
      <c r="C226" t="s">
        <v>32</v>
      </c>
      <c r="D226" t="s">
        <v>484</v>
      </c>
      <c r="E226" t="s">
        <v>142</v>
      </c>
      <c r="F226" s="3">
        <v>10.9816</v>
      </c>
      <c r="G226" s="3">
        <v>-0.98428000000000004</v>
      </c>
      <c r="H226" s="5">
        <v>0.875</v>
      </c>
      <c r="I226" s="5">
        <v>0.109</v>
      </c>
      <c r="J226" s="5">
        <v>-0.379</v>
      </c>
      <c r="K226" s="5">
        <v>-0.72299999999999998</v>
      </c>
      <c r="L226" s="5">
        <v>0.20699999999999999</v>
      </c>
      <c r="M226" s="5">
        <v>1.0009999999999999</v>
      </c>
      <c r="N226" s="5">
        <v>0.69399999999999995</v>
      </c>
      <c r="O226" s="5">
        <v>0.84499999999999997</v>
      </c>
      <c r="P226" s="5">
        <v>0.56599999999999995</v>
      </c>
      <c r="Q226" s="5">
        <v>0.44500000000000001</v>
      </c>
      <c r="R226" s="5">
        <v>0.314</v>
      </c>
      <c r="S226" s="5">
        <v>0.182</v>
      </c>
      <c r="T226" s="5">
        <v>0.2</v>
      </c>
      <c r="U226" s="5">
        <v>0.372</v>
      </c>
      <c r="V226" s="5">
        <v>0.434</v>
      </c>
      <c r="W226" t="s">
        <v>1318</v>
      </c>
      <c r="X226" t="s">
        <v>1319</v>
      </c>
      <c r="Y226" t="s">
        <v>1315</v>
      </c>
      <c r="Z226" t="s">
        <v>488</v>
      </c>
    </row>
    <row r="227" spans="1:26" x14ac:dyDescent="0.3">
      <c r="A227" t="s">
        <v>771</v>
      </c>
      <c r="B227" t="s">
        <v>349</v>
      </c>
      <c r="C227" t="s">
        <v>32</v>
      </c>
      <c r="D227" t="s">
        <v>490</v>
      </c>
      <c r="E227" t="s">
        <v>142</v>
      </c>
      <c r="F227" s="3">
        <v>10.9816</v>
      </c>
      <c r="G227" s="3">
        <v>-0.98428000000000004</v>
      </c>
      <c r="H227" s="5">
        <v>0.875</v>
      </c>
      <c r="I227" s="5">
        <v>0.109</v>
      </c>
      <c r="J227" s="5">
        <v>1.8009999999999999</v>
      </c>
      <c r="K227" s="5">
        <v>0.376</v>
      </c>
      <c r="L227" s="5">
        <v>1.452</v>
      </c>
      <c r="M227" s="5">
        <v>0.96699999999999997</v>
      </c>
      <c r="N227" s="5">
        <v>0.63100000000000001</v>
      </c>
      <c r="O227" s="5">
        <v>1.198</v>
      </c>
      <c r="P227" s="5">
        <v>0.88800000000000001</v>
      </c>
      <c r="Q227" s="5">
        <v>0.45500000000000002</v>
      </c>
      <c r="R227" s="5">
        <v>0.29199999999999998</v>
      </c>
      <c r="S227" s="5">
        <v>0.312</v>
      </c>
      <c r="T227" s="5">
        <v>0.38200000000000001</v>
      </c>
      <c r="U227" s="5">
        <v>0.51900000000000002</v>
      </c>
      <c r="V227" s="5">
        <v>0.65700000000000003</v>
      </c>
      <c r="W227" t="s">
        <v>1318</v>
      </c>
      <c r="X227" t="s">
        <v>1319</v>
      </c>
      <c r="Y227" t="s">
        <v>1315</v>
      </c>
      <c r="Z227" t="s">
        <v>488</v>
      </c>
    </row>
    <row r="228" spans="1:26" x14ac:dyDescent="0.3">
      <c r="A228" t="s">
        <v>772</v>
      </c>
      <c r="B228" t="s">
        <v>351</v>
      </c>
      <c r="C228" t="s">
        <v>32</v>
      </c>
      <c r="D228" t="s">
        <v>484</v>
      </c>
      <c r="E228" t="s">
        <v>277</v>
      </c>
      <c r="F228" s="3">
        <v>10.953379999999999</v>
      </c>
      <c r="G228" s="3">
        <v>-0.57325000000000004</v>
      </c>
      <c r="H228" s="5">
        <v>0.8</v>
      </c>
      <c r="I228" s="5">
        <v>0.30599999999999999</v>
      </c>
      <c r="J228" s="5">
        <v>-1.5549999999999999</v>
      </c>
      <c r="K228" s="5">
        <v>-0.77600000000000002</v>
      </c>
      <c r="L228" s="5">
        <v>0.95</v>
      </c>
      <c r="M228" s="5">
        <v>0.94499999999999995</v>
      </c>
      <c r="N228" s="5">
        <v>0.69299999999999995</v>
      </c>
      <c r="O228" s="5">
        <v>0.59399999999999997</v>
      </c>
      <c r="P228" s="5">
        <v>0.40899999999999997</v>
      </c>
      <c r="Q228" s="5">
        <v>0.65500000000000003</v>
      </c>
      <c r="R228" s="5">
        <v>0.33</v>
      </c>
      <c r="S228" s="5">
        <v>0.17199999999999999</v>
      </c>
      <c r="T228" s="5">
        <v>0.23699999999999999</v>
      </c>
      <c r="U228" s="5">
        <v>0.52100000000000002</v>
      </c>
      <c r="V228" s="5">
        <v>0.313</v>
      </c>
      <c r="W228" t="s">
        <v>1312</v>
      </c>
      <c r="X228" t="s">
        <v>1313</v>
      </c>
      <c r="Y228" t="s">
        <v>1315</v>
      </c>
      <c r="Z228" t="s">
        <v>488</v>
      </c>
    </row>
    <row r="229" spans="1:26" x14ac:dyDescent="0.3">
      <c r="A229" t="s">
        <v>773</v>
      </c>
      <c r="B229" t="s">
        <v>351</v>
      </c>
      <c r="C229" t="s">
        <v>32</v>
      </c>
      <c r="D229" t="s">
        <v>490</v>
      </c>
      <c r="E229" t="s">
        <v>277</v>
      </c>
      <c r="F229" s="3">
        <v>10.953379999999999</v>
      </c>
      <c r="G229" s="3">
        <v>-0.57325000000000004</v>
      </c>
      <c r="H229" s="5">
        <v>0.8</v>
      </c>
      <c r="I229" s="5">
        <v>0.30599999999999999</v>
      </c>
      <c r="J229" s="5">
        <v>1.173</v>
      </c>
      <c r="K229" s="5">
        <v>0.622</v>
      </c>
      <c r="L229" s="5">
        <v>3.39</v>
      </c>
      <c r="M229" s="5">
        <v>1.1100000000000001</v>
      </c>
      <c r="N229" s="5">
        <v>0.71</v>
      </c>
      <c r="O229" s="5">
        <v>0.91600000000000004</v>
      </c>
      <c r="P229" s="5">
        <v>0.75700000000000001</v>
      </c>
      <c r="Q229" s="5">
        <v>0.71499999999999997</v>
      </c>
      <c r="R229" s="5">
        <v>0.33400000000000002</v>
      </c>
      <c r="S229" s="5">
        <v>0.26800000000000002</v>
      </c>
      <c r="T229" s="5">
        <v>0.46899999999999997</v>
      </c>
      <c r="U229" s="5">
        <v>0.80900000000000005</v>
      </c>
      <c r="V229" s="5">
        <v>0.56100000000000005</v>
      </c>
      <c r="W229" t="s">
        <v>1322</v>
      </c>
      <c r="X229" t="s">
        <v>1323</v>
      </c>
      <c r="Y229" t="s">
        <v>1315</v>
      </c>
      <c r="Z229" t="s">
        <v>488</v>
      </c>
    </row>
    <row r="230" spans="1:26" x14ac:dyDescent="0.3">
      <c r="A230" t="s">
        <v>774</v>
      </c>
      <c r="B230" t="s">
        <v>353</v>
      </c>
      <c r="C230" t="s">
        <v>32</v>
      </c>
      <c r="D230" t="s">
        <v>484</v>
      </c>
      <c r="E230" t="s">
        <v>277</v>
      </c>
      <c r="F230" s="3">
        <v>10.537520000000001</v>
      </c>
      <c r="G230" s="3">
        <v>-1.1009100000000001</v>
      </c>
      <c r="H230" s="5">
        <v>0.79500000000000004</v>
      </c>
      <c r="I230" s="5">
        <v>0.17499999999999999</v>
      </c>
      <c r="J230" s="5">
        <v>-0.51800000000000002</v>
      </c>
      <c r="K230" s="5">
        <v>0.66800000000000004</v>
      </c>
      <c r="L230" s="5">
        <v>1.7390000000000001</v>
      </c>
      <c r="M230" s="5">
        <v>1.093</v>
      </c>
      <c r="N230" s="5">
        <v>0.75700000000000001</v>
      </c>
      <c r="O230" s="5">
        <v>0.69</v>
      </c>
      <c r="P230" s="5">
        <v>0.48799999999999999</v>
      </c>
      <c r="Q230" s="5">
        <v>0.72699999999999998</v>
      </c>
      <c r="R230" s="5">
        <v>0.26</v>
      </c>
      <c r="S230" s="5">
        <v>0.24299999999999999</v>
      </c>
      <c r="T230" s="5">
        <v>0.49299999999999999</v>
      </c>
      <c r="U230" s="5">
        <v>0.622</v>
      </c>
      <c r="V230" s="5">
        <v>0.38600000000000001</v>
      </c>
      <c r="W230" t="s">
        <v>1322</v>
      </c>
      <c r="X230" t="s">
        <v>1323</v>
      </c>
      <c r="Y230" t="s">
        <v>1315</v>
      </c>
      <c r="Z230" t="s">
        <v>543</v>
      </c>
    </row>
    <row r="231" spans="1:26" x14ac:dyDescent="0.3">
      <c r="A231" t="s">
        <v>775</v>
      </c>
      <c r="B231" t="s">
        <v>353</v>
      </c>
      <c r="C231" t="s">
        <v>32</v>
      </c>
      <c r="D231" t="s">
        <v>490</v>
      </c>
      <c r="E231" t="s">
        <v>277</v>
      </c>
      <c r="F231" s="3">
        <v>10.537520000000001</v>
      </c>
      <c r="G231" s="3">
        <v>-1.1009100000000001</v>
      </c>
      <c r="H231" s="5">
        <v>0.79500000000000004</v>
      </c>
      <c r="I231" s="5">
        <v>0.17499999999999999</v>
      </c>
      <c r="J231" s="5">
        <v>3.0310000000000001</v>
      </c>
      <c r="K231" s="5">
        <v>0.89</v>
      </c>
      <c r="L231" s="5">
        <v>2.77</v>
      </c>
      <c r="M231" s="5">
        <v>1.0269999999999999</v>
      </c>
      <c r="N231" s="5">
        <v>0.78900000000000003</v>
      </c>
      <c r="O231" s="5">
        <v>0.79300000000000004</v>
      </c>
      <c r="P231" s="5">
        <v>0.84199999999999997</v>
      </c>
      <c r="Q231" s="5">
        <v>0.73599999999999999</v>
      </c>
      <c r="R231" s="5">
        <v>0.28000000000000003</v>
      </c>
      <c r="S231" s="5">
        <v>0.32</v>
      </c>
      <c r="T231" s="5">
        <v>0.53</v>
      </c>
      <c r="U231" s="5">
        <v>0.74399999999999999</v>
      </c>
      <c r="V231" s="5">
        <v>0.64300000000000002</v>
      </c>
      <c r="W231" t="s">
        <v>1322</v>
      </c>
      <c r="X231" t="s">
        <v>1323</v>
      </c>
      <c r="Y231" t="s">
        <v>1315</v>
      </c>
      <c r="Z231" t="s">
        <v>488</v>
      </c>
    </row>
    <row r="232" spans="1:26" x14ac:dyDescent="0.3">
      <c r="A232" t="s">
        <v>776</v>
      </c>
      <c r="B232" t="s">
        <v>355</v>
      </c>
      <c r="C232" t="s">
        <v>32</v>
      </c>
      <c r="D232" t="s">
        <v>484</v>
      </c>
      <c r="E232" t="s">
        <v>101</v>
      </c>
      <c r="F232" s="3">
        <v>10.66493</v>
      </c>
      <c r="G232" s="3">
        <v>-0.27237</v>
      </c>
      <c r="H232" s="5">
        <v>0.70199999999999996</v>
      </c>
      <c r="I232" s="5">
        <v>0.39</v>
      </c>
      <c r="J232" s="5">
        <v>-0.54100000000000004</v>
      </c>
      <c r="K232" s="5">
        <v>0.06</v>
      </c>
      <c r="L232" s="5">
        <v>0.57099999999999995</v>
      </c>
      <c r="M232" s="5">
        <v>1.3959999999999999</v>
      </c>
      <c r="N232" s="5">
        <v>0.73</v>
      </c>
      <c r="O232" s="5">
        <v>0.499</v>
      </c>
      <c r="P232" s="5">
        <v>0.40400000000000003</v>
      </c>
      <c r="Q232" s="5">
        <v>0.63400000000000001</v>
      </c>
      <c r="R232" s="5">
        <v>0.26300000000000001</v>
      </c>
      <c r="S232" s="5">
        <v>0.30199999999999999</v>
      </c>
      <c r="T232" s="5">
        <v>0.39500000000000002</v>
      </c>
      <c r="U232" s="5">
        <v>0.41299999999999998</v>
      </c>
      <c r="V232" s="5">
        <v>0.33700000000000002</v>
      </c>
      <c r="W232" t="s">
        <v>1312</v>
      </c>
      <c r="X232" t="s">
        <v>1313</v>
      </c>
      <c r="Y232" t="s">
        <v>1315</v>
      </c>
      <c r="Z232" t="s">
        <v>488</v>
      </c>
    </row>
    <row r="233" spans="1:26" x14ac:dyDescent="0.3">
      <c r="A233" t="s">
        <v>777</v>
      </c>
      <c r="B233" t="s">
        <v>355</v>
      </c>
      <c r="C233" t="s">
        <v>32</v>
      </c>
      <c r="D233" t="s">
        <v>490</v>
      </c>
      <c r="E233" t="s">
        <v>101</v>
      </c>
      <c r="F233" s="3">
        <v>10.66493</v>
      </c>
      <c r="G233" s="3">
        <v>-0.27237</v>
      </c>
      <c r="H233" s="5">
        <v>0.70199999999999996</v>
      </c>
      <c r="I233" s="5">
        <v>0.39</v>
      </c>
      <c r="J233" s="5">
        <v>0.74</v>
      </c>
      <c r="K233" s="5">
        <v>1.1359999999999999</v>
      </c>
      <c r="L233" s="5">
        <v>2.093</v>
      </c>
      <c r="M233" s="5">
        <v>1.034</v>
      </c>
      <c r="N233" s="5">
        <v>0.754</v>
      </c>
      <c r="O233" s="5">
        <v>0.69299999999999995</v>
      </c>
      <c r="P233" s="5">
        <v>0.64</v>
      </c>
      <c r="Q233" s="5">
        <v>0.73599999999999999</v>
      </c>
      <c r="R233" s="5">
        <v>0.311</v>
      </c>
      <c r="S233" s="5">
        <v>0.121</v>
      </c>
      <c r="T233" s="5">
        <v>0.57399999999999995</v>
      </c>
      <c r="U233" s="5">
        <v>0.59299999999999997</v>
      </c>
      <c r="V233" s="5">
        <v>0.48299999999999998</v>
      </c>
      <c r="W233" t="s">
        <v>1322</v>
      </c>
      <c r="X233" t="s">
        <v>1323</v>
      </c>
      <c r="Y233" t="s">
        <v>1315</v>
      </c>
      <c r="Z233" t="s">
        <v>543</v>
      </c>
    </row>
    <row r="234" spans="1:26" x14ac:dyDescent="0.3">
      <c r="A234" t="s">
        <v>778</v>
      </c>
      <c r="B234" t="s">
        <v>357</v>
      </c>
      <c r="C234" t="s">
        <v>32</v>
      </c>
      <c r="D234" t="s">
        <v>484</v>
      </c>
      <c r="E234" t="s">
        <v>142</v>
      </c>
      <c r="F234" s="3">
        <v>11.141640000000001</v>
      </c>
      <c r="G234" s="3">
        <v>-1.3154399999999999</v>
      </c>
      <c r="H234" s="5">
        <v>0.76900000000000002</v>
      </c>
      <c r="I234" s="5">
        <v>0.20499999999999999</v>
      </c>
      <c r="J234" s="5">
        <v>-1.143</v>
      </c>
      <c r="K234" s="5">
        <v>-0.2</v>
      </c>
      <c r="L234" s="5">
        <v>1.0580000000000001</v>
      </c>
      <c r="M234" s="5">
        <v>1.4910000000000001</v>
      </c>
      <c r="N234" s="5">
        <v>0.872</v>
      </c>
      <c r="O234" s="5">
        <v>0.50800000000000001</v>
      </c>
      <c r="P234" s="5">
        <v>0.40200000000000002</v>
      </c>
      <c r="Q234" s="5">
        <v>0.40899999999999997</v>
      </c>
      <c r="R234" s="5">
        <v>0.34399999999999997</v>
      </c>
      <c r="S234" s="5">
        <v>0.32700000000000001</v>
      </c>
      <c r="T234" s="5">
        <v>0.28599999999999998</v>
      </c>
      <c r="U234" s="5">
        <v>0.48699999999999999</v>
      </c>
      <c r="V234" s="5">
        <v>0.317</v>
      </c>
      <c r="W234" t="s">
        <v>1322</v>
      </c>
      <c r="X234" t="s">
        <v>1323</v>
      </c>
      <c r="Y234" t="s">
        <v>1315</v>
      </c>
      <c r="Z234" t="s">
        <v>488</v>
      </c>
    </row>
    <row r="235" spans="1:26" x14ac:dyDescent="0.3">
      <c r="A235" t="s">
        <v>779</v>
      </c>
      <c r="B235" t="s">
        <v>357</v>
      </c>
      <c r="C235" t="s">
        <v>32</v>
      </c>
      <c r="D235" t="s">
        <v>490</v>
      </c>
      <c r="E235" t="s">
        <v>142</v>
      </c>
      <c r="F235" s="3">
        <v>11.141640000000001</v>
      </c>
      <c r="G235" s="3">
        <v>-1.3154399999999999</v>
      </c>
      <c r="H235" s="5">
        <v>0.76900000000000002</v>
      </c>
      <c r="I235" s="5">
        <v>0.20499999999999999</v>
      </c>
      <c r="J235" s="5">
        <v>1.2350000000000001</v>
      </c>
      <c r="K235" s="5">
        <v>0.153</v>
      </c>
      <c r="L235" s="5">
        <v>1.238</v>
      </c>
      <c r="M235" s="5">
        <v>1.1419999999999999</v>
      </c>
      <c r="N235" s="5">
        <v>0.85699999999999998</v>
      </c>
      <c r="O235" s="5">
        <v>0.872</v>
      </c>
      <c r="P235" s="5">
        <v>0.73799999999999999</v>
      </c>
      <c r="Q235" s="5">
        <v>0.52200000000000002</v>
      </c>
      <c r="R235" s="5">
        <v>0.26800000000000002</v>
      </c>
      <c r="S235" s="5">
        <v>0.26500000000000001</v>
      </c>
      <c r="T235" s="5">
        <v>0.34399999999999997</v>
      </c>
      <c r="U235" s="5">
        <v>0.50900000000000001</v>
      </c>
      <c r="V235" s="5">
        <v>0.55200000000000005</v>
      </c>
      <c r="W235" t="s">
        <v>1318</v>
      </c>
      <c r="X235" t="s">
        <v>1319</v>
      </c>
      <c r="Y235" t="s">
        <v>1314</v>
      </c>
      <c r="Z235" t="s">
        <v>488</v>
      </c>
    </row>
    <row r="236" spans="1:26" x14ac:dyDescent="0.3">
      <c r="A236" t="s">
        <v>780</v>
      </c>
      <c r="B236" t="s">
        <v>359</v>
      </c>
      <c r="C236" t="s">
        <v>32</v>
      </c>
      <c r="D236" t="s">
        <v>484</v>
      </c>
      <c r="E236" t="s">
        <v>101</v>
      </c>
      <c r="F236" s="3">
        <v>10.51084</v>
      </c>
      <c r="G236" s="3">
        <v>-0.68847000000000003</v>
      </c>
      <c r="H236" s="5">
        <v>0.84699999999999998</v>
      </c>
      <c r="I236" s="5">
        <v>0.42299999999999999</v>
      </c>
      <c r="J236" s="5">
        <v>-0.73099999999999998</v>
      </c>
      <c r="K236" s="5">
        <v>-0.32700000000000001</v>
      </c>
      <c r="L236" s="5">
        <v>1.4410000000000001</v>
      </c>
      <c r="M236" s="5">
        <v>1.4610000000000001</v>
      </c>
      <c r="N236" s="5">
        <v>0.81</v>
      </c>
      <c r="O236" s="5">
        <v>0.63</v>
      </c>
      <c r="P236" s="5">
        <v>0.48899999999999999</v>
      </c>
      <c r="Q236" s="5">
        <v>0.65700000000000003</v>
      </c>
      <c r="R236" s="5">
        <v>0.313</v>
      </c>
      <c r="S236" s="5">
        <v>0.38600000000000001</v>
      </c>
      <c r="T236" s="5">
        <v>0.3</v>
      </c>
      <c r="U236" s="5">
        <v>0.59299999999999997</v>
      </c>
      <c r="V236" s="5">
        <v>0.373</v>
      </c>
      <c r="W236" t="s">
        <v>1322</v>
      </c>
      <c r="X236" t="s">
        <v>1323</v>
      </c>
      <c r="Y236" t="s">
        <v>1315</v>
      </c>
      <c r="Z236" t="s">
        <v>488</v>
      </c>
    </row>
    <row r="237" spans="1:26" x14ac:dyDescent="0.3">
      <c r="A237" t="s">
        <v>781</v>
      </c>
      <c r="B237" t="s">
        <v>359</v>
      </c>
      <c r="C237" t="s">
        <v>32</v>
      </c>
      <c r="D237" t="s">
        <v>490</v>
      </c>
      <c r="E237" t="s">
        <v>101</v>
      </c>
      <c r="F237" s="3">
        <v>10.51084</v>
      </c>
      <c r="G237" s="3">
        <v>-0.68847000000000003</v>
      </c>
      <c r="H237" s="5">
        <v>0.84699999999999998</v>
      </c>
      <c r="I237" s="5">
        <v>0.42299999999999999</v>
      </c>
      <c r="J237" s="5">
        <v>1.708</v>
      </c>
      <c r="K237" s="5">
        <v>8.6999999999999994E-2</v>
      </c>
      <c r="L237" s="5">
        <v>2.7639999999999998</v>
      </c>
      <c r="M237" s="5">
        <v>1.39</v>
      </c>
      <c r="N237" s="5">
        <v>0.86299999999999999</v>
      </c>
      <c r="O237" s="5">
        <v>0.66400000000000003</v>
      </c>
      <c r="P237" s="5">
        <v>0.76200000000000001</v>
      </c>
      <c r="Q237" s="5">
        <v>0.71499999999999997</v>
      </c>
      <c r="R237" s="5">
        <v>0.28699999999999998</v>
      </c>
      <c r="S237" s="5">
        <v>0.35099999999999998</v>
      </c>
      <c r="T237" s="5">
        <v>0.36899999999999999</v>
      </c>
      <c r="U237" s="5">
        <v>0.749</v>
      </c>
      <c r="V237" s="5">
        <v>0.55600000000000005</v>
      </c>
      <c r="W237" t="s">
        <v>1322</v>
      </c>
      <c r="X237" t="s">
        <v>1323</v>
      </c>
      <c r="Y237" t="s">
        <v>1315</v>
      </c>
      <c r="Z237" t="s">
        <v>488</v>
      </c>
    </row>
    <row r="238" spans="1:26" x14ac:dyDescent="0.3">
      <c r="A238" t="s">
        <v>782</v>
      </c>
      <c r="B238" t="s">
        <v>361</v>
      </c>
      <c r="C238" t="s">
        <v>32</v>
      </c>
      <c r="D238" t="s">
        <v>484</v>
      </c>
      <c r="E238" t="s">
        <v>142</v>
      </c>
      <c r="F238" s="3">
        <v>10.425509999999999</v>
      </c>
      <c r="G238" s="3">
        <v>-9.7860000000000003E-2</v>
      </c>
      <c r="H238" s="5">
        <v>0.754</v>
      </c>
      <c r="I238" s="5">
        <v>0.27700000000000002</v>
      </c>
      <c r="J238" s="5">
        <v>-1.1120000000000001</v>
      </c>
      <c r="K238" s="5">
        <v>-1.119</v>
      </c>
      <c r="L238" s="5">
        <v>0.61099999999999999</v>
      </c>
      <c r="M238" s="5">
        <v>1.252</v>
      </c>
      <c r="N238" s="5">
        <v>0.88800000000000001</v>
      </c>
      <c r="O238" s="5">
        <v>0.66900000000000004</v>
      </c>
      <c r="P238" s="5">
        <v>0.42899999999999999</v>
      </c>
      <c r="Q238" s="5">
        <v>0.36499999999999999</v>
      </c>
      <c r="R238" s="5">
        <v>0.313</v>
      </c>
      <c r="S238" s="5">
        <v>0.35299999999999998</v>
      </c>
      <c r="T238" s="5">
        <v>6.8000000000000005E-2</v>
      </c>
      <c r="U238" s="5">
        <v>0.40400000000000003</v>
      </c>
      <c r="V238" s="5">
        <v>0.34300000000000003</v>
      </c>
      <c r="W238" t="s">
        <v>1322</v>
      </c>
      <c r="X238" t="s">
        <v>1323</v>
      </c>
      <c r="Y238" t="s">
        <v>1315</v>
      </c>
      <c r="Z238" t="s">
        <v>488</v>
      </c>
    </row>
    <row r="239" spans="1:26" x14ac:dyDescent="0.3">
      <c r="A239" t="s">
        <v>783</v>
      </c>
      <c r="B239" t="s">
        <v>361</v>
      </c>
      <c r="C239" t="s">
        <v>32</v>
      </c>
      <c r="D239" t="s">
        <v>490</v>
      </c>
      <c r="E239" t="s">
        <v>142</v>
      </c>
      <c r="F239" s="3">
        <v>10.425509999999999</v>
      </c>
      <c r="G239" s="3">
        <v>-9.7860000000000003E-2</v>
      </c>
      <c r="H239" s="5">
        <v>0.754</v>
      </c>
      <c r="I239" s="5">
        <v>0.27700000000000002</v>
      </c>
      <c r="J239" s="5">
        <v>1.8460000000000001</v>
      </c>
      <c r="K239" s="5">
        <v>-0.96</v>
      </c>
      <c r="L239" s="5">
        <v>0.97199999999999998</v>
      </c>
      <c r="M239" s="5">
        <v>1.149</v>
      </c>
      <c r="N239" s="5">
        <v>0.873</v>
      </c>
      <c r="O239" s="5">
        <v>0.76300000000000001</v>
      </c>
      <c r="P239" s="5">
        <v>0.745</v>
      </c>
      <c r="Q239" s="5">
        <v>0.47</v>
      </c>
      <c r="R239" s="5">
        <v>0.317</v>
      </c>
      <c r="S239" s="5">
        <v>0.33200000000000002</v>
      </c>
      <c r="T239" s="5">
        <v>9.5000000000000001E-2</v>
      </c>
      <c r="U239" s="5">
        <v>0.44700000000000001</v>
      </c>
      <c r="V239" s="5">
        <v>0.56499999999999995</v>
      </c>
      <c r="W239" t="s">
        <v>1318</v>
      </c>
      <c r="X239" t="s">
        <v>1319</v>
      </c>
      <c r="Y239" t="s">
        <v>1314</v>
      </c>
      <c r="Z239" t="s">
        <v>488</v>
      </c>
    </row>
    <row r="240" spans="1:26" x14ac:dyDescent="0.3">
      <c r="A240" t="s">
        <v>784</v>
      </c>
      <c r="B240" t="s">
        <v>363</v>
      </c>
      <c r="C240" t="s">
        <v>32</v>
      </c>
      <c r="D240" t="s">
        <v>484</v>
      </c>
      <c r="E240" t="s">
        <v>142</v>
      </c>
      <c r="F240" s="3">
        <v>10.42178</v>
      </c>
      <c r="G240" s="3">
        <v>-0.33527000000000001</v>
      </c>
      <c r="H240" s="5">
        <v>0.66700000000000004</v>
      </c>
      <c r="I240" s="5">
        <v>0.33400000000000002</v>
      </c>
      <c r="J240" s="5">
        <v>-1.623</v>
      </c>
      <c r="K240" s="5">
        <v>-0.89700000000000002</v>
      </c>
      <c r="L240" s="5">
        <v>9.0999999999999998E-2</v>
      </c>
      <c r="M240" s="5">
        <v>1.3839999999999999</v>
      </c>
      <c r="N240" s="5">
        <v>0.84899999999999998</v>
      </c>
      <c r="O240" s="5">
        <v>0.503</v>
      </c>
      <c r="P240" s="5">
        <v>0.32300000000000001</v>
      </c>
      <c r="Q240" s="5">
        <v>0.41499999999999998</v>
      </c>
      <c r="R240" s="5">
        <v>0.30599999999999999</v>
      </c>
      <c r="S240" s="5">
        <v>0.39100000000000001</v>
      </c>
      <c r="T240" s="5">
        <v>0.126</v>
      </c>
      <c r="U240" s="5">
        <v>0.36599999999999999</v>
      </c>
      <c r="V240" s="5">
        <v>0.27200000000000002</v>
      </c>
      <c r="W240" t="s">
        <v>1320</v>
      </c>
      <c r="X240" t="s">
        <v>1321</v>
      </c>
      <c r="Y240" t="s">
        <v>1315</v>
      </c>
      <c r="Z240" t="s">
        <v>488</v>
      </c>
    </row>
    <row r="241" spans="1:26" x14ac:dyDescent="0.3">
      <c r="A241" t="s">
        <v>785</v>
      </c>
      <c r="B241" t="s">
        <v>363</v>
      </c>
      <c r="C241" t="s">
        <v>32</v>
      </c>
      <c r="D241" t="s">
        <v>490</v>
      </c>
      <c r="E241" t="s">
        <v>142</v>
      </c>
      <c r="F241" s="3">
        <v>10.42178</v>
      </c>
      <c r="G241" s="3">
        <v>-0.33527000000000001</v>
      </c>
      <c r="H241" s="5">
        <v>0.66700000000000004</v>
      </c>
      <c r="I241" s="5">
        <v>0.33400000000000002</v>
      </c>
      <c r="J241" s="5">
        <v>1.28</v>
      </c>
      <c r="K241" s="5">
        <v>-0.65600000000000003</v>
      </c>
      <c r="L241" s="5">
        <v>9.4E-2</v>
      </c>
      <c r="M241" s="5">
        <v>1.2450000000000001</v>
      </c>
      <c r="N241" s="5">
        <v>0.80400000000000005</v>
      </c>
      <c r="O241" s="5">
        <v>0.72399999999999998</v>
      </c>
      <c r="P241" s="5">
        <v>0.66200000000000003</v>
      </c>
      <c r="Q241" s="5">
        <v>0.45100000000000001</v>
      </c>
      <c r="R241" s="5">
        <v>0.29799999999999999</v>
      </c>
      <c r="S241" s="5">
        <v>0.312</v>
      </c>
      <c r="T241" s="5">
        <v>0.16600000000000001</v>
      </c>
      <c r="U241" s="5">
        <v>0.36599999999999999</v>
      </c>
      <c r="V241" s="5">
        <v>0.51300000000000001</v>
      </c>
      <c r="W241" t="s">
        <v>1318</v>
      </c>
      <c r="X241" t="s">
        <v>1319</v>
      </c>
      <c r="Y241" t="s">
        <v>1315</v>
      </c>
      <c r="Z241" t="s">
        <v>488</v>
      </c>
    </row>
    <row r="242" spans="1:26" x14ac:dyDescent="0.3">
      <c r="A242" t="s">
        <v>786</v>
      </c>
      <c r="B242" t="s">
        <v>365</v>
      </c>
      <c r="C242" t="s">
        <v>50</v>
      </c>
      <c r="D242" t="s">
        <v>484</v>
      </c>
      <c r="E242" t="s">
        <v>277</v>
      </c>
      <c r="F242" s="3">
        <v>10.946120000000001</v>
      </c>
      <c r="G242" s="3">
        <v>-2.2436600000000002</v>
      </c>
      <c r="H242" s="5">
        <v>0.74399999999999999</v>
      </c>
      <c r="I242" s="5">
        <v>0.27600000000000002</v>
      </c>
      <c r="J242" s="5">
        <v>-0.78500000000000003</v>
      </c>
      <c r="K242" s="5">
        <v>-1.044</v>
      </c>
      <c r="L242" s="5">
        <v>-0.56599999999999995</v>
      </c>
      <c r="M242" s="5">
        <v>1.153</v>
      </c>
      <c r="N242" s="5">
        <v>0.79</v>
      </c>
      <c r="O242" s="5">
        <v>0.58799999999999997</v>
      </c>
      <c r="P242" s="5">
        <v>0.42799999999999999</v>
      </c>
      <c r="Q242" s="5">
        <v>0.72299999999999998</v>
      </c>
      <c r="R242" s="5">
        <v>0.33700000000000002</v>
      </c>
      <c r="S242" s="5">
        <v>0.187</v>
      </c>
      <c r="T242" s="5">
        <v>0.13200000000000001</v>
      </c>
      <c r="U242" s="5">
        <v>0.16400000000000001</v>
      </c>
      <c r="V242" s="5">
        <v>0.34599999999999997</v>
      </c>
      <c r="W242" t="s">
        <v>1312</v>
      </c>
      <c r="X242" t="s">
        <v>1313</v>
      </c>
      <c r="Y242" t="s">
        <v>1315</v>
      </c>
      <c r="Z242" t="s">
        <v>488</v>
      </c>
    </row>
    <row r="243" spans="1:26" x14ac:dyDescent="0.3">
      <c r="A243" t="s">
        <v>787</v>
      </c>
      <c r="B243" t="s">
        <v>365</v>
      </c>
      <c r="C243" t="s">
        <v>50</v>
      </c>
      <c r="D243" t="s">
        <v>490</v>
      </c>
      <c r="E243" t="s">
        <v>277</v>
      </c>
      <c r="F243" s="3">
        <v>10.946120000000001</v>
      </c>
      <c r="G243" s="3">
        <v>-2.2436600000000002</v>
      </c>
      <c r="H243" s="5">
        <v>0.74399999999999999</v>
      </c>
      <c r="I243" s="5">
        <v>0.27600000000000002</v>
      </c>
      <c r="J243" s="5">
        <v>0.23899999999999999</v>
      </c>
      <c r="K243" s="5">
        <v>-0.46400000000000002</v>
      </c>
      <c r="L243" s="5">
        <v>-0.06</v>
      </c>
      <c r="M243" s="5">
        <v>0.94299999999999995</v>
      </c>
      <c r="N243" s="5">
        <v>0.66200000000000003</v>
      </c>
      <c r="O243" s="5">
        <v>0.879</v>
      </c>
      <c r="P243" s="5">
        <v>0.66700000000000004</v>
      </c>
      <c r="Q243" s="5">
        <v>0.755</v>
      </c>
      <c r="R243" s="5">
        <v>0.312</v>
      </c>
      <c r="S243" s="5">
        <v>0.29099999999999998</v>
      </c>
      <c r="T243" s="5">
        <v>0.22800000000000001</v>
      </c>
      <c r="U243" s="5">
        <v>0.223</v>
      </c>
      <c r="V243" s="5">
        <v>0.49399999999999999</v>
      </c>
      <c r="W243" t="s">
        <v>1312</v>
      </c>
      <c r="X243" t="s">
        <v>1313</v>
      </c>
      <c r="Y243" t="s">
        <v>1315</v>
      </c>
      <c r="Z243" t="s">
        <v>488</v>
      </c>
    </row>
    <row r="244" spans="1:26" x14ac:dyDescent="0.3">
      <c r="A244" t="s">
        <v>788</v>
      </c>
      <c r="B244" t="s">
        <v>368</v>
      </c>
      <c r="C244" t="s">
        <v>50</v>
      </c>
      <c r="D244" t="s">
        <v>484</v>
      </c>
      <c r="E244" t="s">
        <v>75</v>
      </c>
      <c r="F244" s="3">
        <v>10.2437</v>
      </c>
      <c r="G244" s="3">
        <v>-2.5610599999999999</v>
      </c>
      <c r="H244" s="5">
        <v>0.63200000000000001</v>
      </c>
      <c r="I244" s="5">
        <v>0.22600000000000001</v>
      </c>
      <c r="J244" s="5">
        <v>-0.70499999999999996</v>
      </c>
      <c r="K244" s="5">
        <v>-1.0369999999999999</v>
      </c>
      <c r="L244" s="5">
        <v>-1.2490000000000001</v>
      </c>
      <c r="M244" s="5">
        <v>1.1850000000000001</v>
      </c>
      <c r="N244" s="5">
        <v>0.86599999999999999</v>
      </c>
      <c r="O244" s="5">
        <v>0.6</v>
      </c>
      <c r="P244" s="5">
        <v>0.38100000000000001</v>
      </c>
      <c r="Q244" s="5">
        <v>0.42099999999999999</v>
      </c>
      <c r="R244" s="5">
        <v>0.60499999999999998</v>
      </c>
      <c r="S244" s="5">
        <v>0.26300000000000001</v>
      </c>
      <c r="T244" s="5">
        <v>0.109</v>
      </c>
      <c r="U244" s="5">
        <v>3.4000000000000002E-2</v>
      </c>
      <c r="V244" s="5">
        <v>0.33300000000000002</v>
      </c>
      <c r="W244" t="s">
        <v>1312</v>
      </c>
      <c r="X244" t="s">
        <v>1313</v>
      </c>
      <c r="Y244" t="s">
        <v>1315</v>
      </c>
      <c r="Z244" t="s">
        <v>488</v>
      </c>
    </row>
    <row r="245" spans="1:26" x14ac:dyDescent="0.3">
      <c r="A245" t="s">
        <v>789</v>
      </c>
      <c r="B245" t="s">
        <v>368</v>
      </c>
      <c r="C245" t="s">
        <v>50</v>
      </c>
      <c r="D245" t="s">
        <v>490</v>
      </c>
      <c r="E245" t="s">
        <v>75</v>
      </c>
      <c r="F245" s="3">
        <v>10.2437</v>
      </c>
      <c r="G245" s="3">
        <v>-2.5610599999999999</v>
      </c>
      <c r="H245" s="5">
        <v>0.63200000000000001</v>
      </c>
      <c r="I245" s="5">
        <v>0.22600000000000001</v>
      </c>
      <c r="J245" s="5">
        <v>9.0999999999999998E-2</v>
      </c>
      <c r="K245" s="5">
        <v>-0.64500000000000002</v>
      </c>
      <c r="L245" s="5">
        <v>-0.78800000000000003</v>
      </c>
      <c r="M245" s="5">
        <v>1.0429999999999999</v>
      </c>
      <c r="N245" s="5">
        <v>0.61699999999999999</v>
      </c>
      <c r="O245" s="5">
        <v>0.57999999999999996</v>
      </c>
      <c r="P245" s="5">
        <v>0.54500000000000004</v>
      </c>
      <c r="Q245" s="5">
        <v>0.33300000000000002</v>
      </c>
      <c r="R245" s="5">
        <v>0.61599999999999999</v>
      </c>
      <c r="S245" s="5">
        <v>0.13900000000000001</v>
      </c>
      <c r="T245" s="5">
        <v>0.17399999999999999</v>
      </c>
      <c r="U245" s="5">
        <v>8.7999999999999995E-2</v>
      </c>
      <c r="V245" s="5">
        <v>0.41599999999999998</v>
      </c>
      <c r="W245" t="s">
        <v>1312</v>
      </c>
      <c r="X245" t="s">
        <v>1313</v>
      </c>
      <c r="Y245" t="s">
        <v>1315</v>
      </c>
      <c r="Z245" t="s">
        <v>488</v>
      </c>
    </row>
    <row r="246" spans="1:26" x14ac:dyDescent="0.3">
      <c r="A246" t="s">
        <v>790</v>
      </c>
      <c r="B246" t="s">
        <v>370</v>
      </c>
      <c r="C246" t="s">
        <v>50</v>
      </c>
      <c r="D246" t="s">
        <v>484</v>
      </c>
      <c r="E246" t="s">
        <v>142</v>
      </c>
      <c r="F246" s="3">
        <v>10.63458</v>
      </c>
      <c r="G246" s="3">
        <v>-1.7440599999999999</v>
      </c>
      <c r="H246" s="5">
        <v>0.71599999999999997</v>
      </c>
      <c r="I246" s="5">
        <v>0.30199999999999999</v>
      </c>
      <c r="J246" s="5">
        <v>0.115</v>
      </c>
      <c r="K246" s="5">
        <v>2.9430000000000001</v>
      </c>
      <c r="L246" s="5">
        <v>-0.42299999999999999</v>
      </c>
      <c r="M246" s="5">
        <v>1.242</v>
      </c>
      <c r="N246" s="5">
        <v>0.78200000000000003</v>
      </c>
      <c r="O246" s="5">
        <v>0.59899999999999998</v>
      </c>
      <c r="P246" s="5">
        <v>0.47</v>
      </c>
      <c r="Q246" s="5">
        <v>0.434</v>
      </c>
      <c r="R246" s="5">
        <v>0.27200000000000002</v>
      </c>
      <c r="S246" s="5">
        <v>0.189</v>
      </c>
      <c r="T246" s="5">
        <v>0.92400000000000004</v>
      </c>
      <c r="U246" s="5">
        <v>0.16900000000000001</v>
      </c>
      <c r="V246" s="5">
        <v>0.39300000000000002</v>
      </c>
      <c r="W246" t="s">
        <v>1316</v>
      </c>
      <c r="X246" t="s">
        <v>1317</v>
      </c>
      <c r="Y246" t="s">
        <v>1315</v>
      </c>
      <c r="Z246" t="s">
        <v>517</v>
      </c>
    </row>
    <row r="247" spans="1:26" x14ac:dyDescent="0.3">
      <c r="A247" t="s">
        <v>791</v>
      </c>
      <c r="B247" t="s">
        <v>370</v>
      </c>
      <c r="C247" t="s">
        <v>50</v>
      </c>
      <c r="D247" t="s">
        <v>490</v>
      </c>
      <c r="E247" t="s">
        <v>142</v>
      </c>
      <c r="F247" s="3">
        <v>10.63458</v>
      </c>
      <c r="G247" s="3">
        <v>-1.7440599999999999</v>
      </c>
      <c r="H247" s="5">
        <v>0.71599999999999997</v>
      </c>
      <c r="I247" s="5">
        <v>0.30199999999999999</v>
      </c>
      <c r="J247" s="5">
        <v>2.2440000000000002</v>
      </c>
      <c r="K247" s="5">
        <v>2.8940000000000001</v>
      </c>
      <c r="L247" s="5">
        <v>-0.115</v>
      </c>
      <c r="M247" s="5">
        <v>1.3129999999999999</v>
      </c>
      <c r="N247" s="5">
        <v>0.73599999999999999</v>
      </c>
      <c r="O247" s="5">
        <v>0.88200000000000001</v>
      </c>
      <c r="P247" s="5">
        <v>0.77500000000000002</v>
      </c>
      <c r="Q247" s="5">
        <v>0.44500000000000001</v>
      </c>
      <c r="R247" s="5">
        <v>0.26100000000000001</v>
      </c>
      <c r="S247" s="5">
        <v>0.34399999999999997</v>
      </c>
      <c r="T247" s="5">
        <v>0.91500000000000004</v>
      </c>
      <c r="U247" s="5">
        <v>0.20499999999999999</v>
      </c>
      <c r="V247" s="5">
        <v>0.60099999999999998</v>
      </c>
      <c r="W247" t="s">
        <v>1316</v>
      </c>
      <c r="X247" t="s">
        <v>1317</v>
      </c>
      <c r="Y247" t="s">
        <v>1314</v>
      </c>
      <c r="Z247" t="s">
        <v>488</v>
      </c>
    </row>
    <row r="248" spans="1:26" x14ac:dyDescent="0.3">
      <c r="A248" t="s">
        <v>792</v>
      </c>
      <c r="B248" t="s">
        <v>372</v>
      </c>
      <c r="C248" t="s">
        <v>50</v>
      </c>
      <c r="D248" t="s">
        <v>484</v>
      </c>
      <c r="E248" t="s">
        <v>101</v>
      </c>
      <c r="F248" s="3">
        <v>9.8171300000000006</v>
      </c>
      <c r="G248" s="3">
        <v>-2.7948</v>
      </c>
      <c r="H248" s="5">
        <v>0.72799999999999998</v>
      </c>
      <c r="I248" s="5">
        <v>0.39500000000000002</v>
      </c>
      <c r="J248" s="5">
        <v>-0.91100000000000003</v>
      </c>
      <c r="K248" s="5">
        <v>1.0409999999999999</v>
      </c>
      <c r="L248" s="5">
        <v>-0.70599999999999996</v>
      </c>
      <c r="M248" s="5">
        <v>1.2569999999999999</v>
      </c>
      <c r="N248" s="5">
        <v>0.71799999999999997</v>
      </c>
      <c r="O248" s="5">
        <v>0.59399999999999997</v>
      </c>
      <c r="P248" s="5">
        <v>0.41399999999999998</v>
      </c>
      <c r="Q248" s="5">
        <v>0.66100000000000003</v>
      </c>
      <c r="R248" s="5">
        <v>0.311</v>
      </c>
      <c r="S248" s="5">
        <v>0.22700000000000001</v>
      </c>
      <c r="T248" s="5">
        <v>0.55600000000000005</v>
      </c>
      <c r="U248" s="5">
        <v>0.111</v>
      </c>
      <c r="V248" s="5">
        <v>0.33700000000000002</v>
      </c>
      <c r="W248" t="s">
        <v>1316</v>
      </c>
      <c r="X248" t="s">
        <v>1317</v>
      </c>
      <c r="Y248" t="s">
        <v>1315</v>
      </c>
      <c r="Z248" t="s">
        <v>543</v>
      </c>
    </row>
    <row r="249" spans="1:26" x14ac:dyDescent="0.3">
      <c r="A249" t="s">
        <v>793</v>
      </c>
      <c r="B249" t="s">
        <v>372</v>
      </c>
      <c r="C249" t="s">
        <v>50</v>
      </c>
      <c r="D249" t="s">
        <v>490</v>
      </c>
      <c r="E249" t="s">
        <v>101</v>
      </c>
      <c r="F249" s="3">
        <v>9.8171300000000006</v>
      </c>
      <c r="G249" s="3">
        <v>-2.7948</v>
      </c>
      <c r="H249" s="5">
        <v>0.72799999999999998</v>
      </c>
      <c r="I249" s="5">
        <v>0.39500000000000002</v>
      </c>
      <c r="J249" s="5">
        <v>0.83899999999999997</v>
      </c>
      <c r="K249" s="5">
        <v>-4.2000000000000003E-2</v>
      </c>
      <c r="L249" s="5">
        <v>0.32700000000000001</v>
      </c>
      <c r="M249" s="5">
        <v>1.175</v>
      </c>
      <c r="N249" s="5">
        <v>0.75900000000000001</v>
      </c>
      <c r="O249" s="5">
        <v>0.66400000000000003</v>
      </c>
      <c r="P249" s="5">
        <v>0.65300000000000002</v>
      </c>
      <c r="Q249" s="5">
        <v>0.73599999999999999</v>
      </c>
      <c r="R249" s="5">
        <v>0.29599999999999999</v>
      </c>
      <c r="S249" s="5">
        <v>0.16600000000000001</v>
      </c>
      <c r="T249" s="5">
        <v>0.376</v>
      </c>
      <c r="U249" s="5">
        <v>0.23300000000000001</v>
      </c>
      <c r="V249" s="5">
        <v>0.48799999999999999</v>
      </c>
      <c r="W249" t="s">
        <v>1312</v>
      </c>
      <c r="X249" t="s">
        <v>1313</v>
      </c>
      <c r="Y249" t="s">
        <v>1315</v>
      </c>
      <c r="Z249" t="s">
        <v>488</v>
      </c>
    </row>
    <row r="250" spans="1:26" x14ac:dyDescent="0.3">
      <c r="A250" t="s">
        <v>794</v>
      </c>
      <c r="B250" t="s">
        <v>374</v>
      </c>
      <c r="C250" t="s">
        <v>50</v>
      </c>
      <c r="D250" t="s">
        <v>484</v>
      </c>
      <c r="E250" t="s">
        <v>101</v>
      </c>
      <c r="F250" s="3">
        <v>10.289199999999999</v>
      </c>
      <c r="G250" s="3">
        <v>-2.3511199999999999</v>
      </c>
      <c r="H250" s="5">
        <v>0.71299999999999997</v>
      </c>
      <c r="I250" s="5">
        <v>0.27800000000000002</v>
      </c>
      <c r="J250" s="5">
        <v>-0.55100000000000005</v>
      </c>
      <c r="K250" s="5">
        <v>-0.52600000000000002</v>
      </c>
      <c r="L250" s="5">
        <v>-0.152</v>
      </c>
      <c r="M250" s="5">
        <v>1.1759999999999999</v>
      </c>
      <c r="N250" s="5">
        <v>0.77900000000000003</v>
      </c>
      <c r="O250" s="5">
        <v>0.68500000000000005</v>
      </c>
      <c r="P250" s="5">
        <v>0.44600000000000001</v>
      </c>
      <c r="Q250" s="5">
        <v>0.67700000000000005</v>
      </c>
      <c r="R250" s="5">
        <v>0.31</v>
      </c>
      <c r="S250" s="5">
        <v>0.30599999999999999</v>
      </c>
      <c r="T250" s="5">
        <v>0.26100000000000001</v>
      </c>
      <c r="U250" s="5">
        <v>0.24199999999999999</v>
      </c>
      <c r="V250" s="5">
        <v>0.37</v>
      </c>
      <c r="W250" t="s">
        <v>1312</v>
      </c>
      <c r="X250" t="s">
        <v>1313</v>
      </c>
      <c r="Y250" t="s">
        <v>1314</v>
      </c>
      <c r="Z250" t="s">
        <v>488</v>
      </c>
    </row>
    <row r="251" spans="1:26" x14ac:dyDescent="0.3">
      <c r="A251" t="s">
        <v>795</v>
      </c>
      <c r="B251" t="s">
        <v>374</v>
      </c>
      <c r="C251" t="s">
        <v>50</v>
      </c>
      <c r="D251" t="s">
        <v>490</v>
      </c>
      <c r="E251" t="s">
        <v>101</v>
      </c>
      <c r="F251" s="3">
        <v>10.289199999999999</v>
      </c>
      <c r="G251" s="3">
        <v>-2.3511199999999999</v>
      </c>
      <c r="H251" s="5">
        <v>0.71299999999999997</v>
      </c>
      <c r="I251" s="5">
        <v>0.27800000000000002</v>
      </c>
      <c r="J251" s="5">
        <v>5.7000000000000002E-2</v>
      </c>
      <c r="K251" s="5">
        <v>-0.26900000000000002</v>
      </c>
      <c r="L251" s="5">
        <v>-0.10100000000000001</v>
      </c>
      <c r="M251" s="5">
        <v>1.093</v>
      </c>
      <c r="N251" s="5">
        <v>0.746</v>
      </c>
      <c r="O251" s="5">
        <v>0.68</v>
      </c>
      <c r="P251" s="5">
        <v>0.60199999999999998</v>
      </c>
      <c r="Q251" s="5">
        <v>0.72899999999999998</v>
      </c>
      <c r="R251" s="5">
        <v>0.29799999999999999</v>
      </c>
      <c r="S251" s="5">
        <v>0.30099999999999999</v>
      </c>
      <c r="T251" s="5">
        <v>0.30299999999999999</v>
      </c>
      <c r="U251" s="5">
        <v>0.248</v>
      </c>
      <c r="V251" s="5">
        <v>0.44500000000000001</v>
      </c>
      <c r="W251" t="s">
        <v>1312</v>
      </c>
      <c r="X251" t="s">
        <v>1313</v>
      </c>
      <c r="Y251" t="s">
        <v>1315</v>
      </c>
      <c r="Z251" t="s">
        <v>488</v>
      </c>
    </row>
    <row r="252" spans="1:26" x14ac:dyDescent="0.3">
      <c r="A252" t="s">
        <v>796</v>
      </c>
      <c r="B252" t="s">
        <v>377</v>
      </c>
      <c r="C252" t="s">
        <v>50</v>
      </c>
      <c r="D252" t="s">
        <v>484</v>
      </c>
      <c r="E252" t="s">
        <v>101</v>
      </c>
      <c r="F252" s="3">
        <v>10.30367</v>
      </c>
      <c r="G252" s="3">
        <v>-2.3025199999999999</v>
      </c>
      <c r="H252" s="5">
        <v>0.67200000000000004</v>
      </c>
      <c r="I252" s="5">
        <v>0.49199999999999999</v>
      </c>
      <c r="J252" s="5">
        <v>-0.42899999999999999</v>
      </c>
      <c r="K252" s="5">
        <v>-0.64200000000000002</v>
      </c>
      <c r="L252" s="5">
        <v>-0.22700000000000001</v>
      </c>
      <c r="M252" s="5">
        <v>0.84499999999999997</v>
      </c>
      <c r="N252" s="5">
        <v>0.755</v>
      </c>
      <c r="O252" s="5">
        <v>0.76200000000000001</v>
      </c>
      <c r="P252" s="5">
        <v>0.44900000000000001</v>
      </c>
      <c r="Q252" s="5">
        <v>0.56399999999999995</v>
      </c>
      <c r="R252" s="5">
        <v>0.318</v>
      </c>
      <c r="S252" s="5">
        <v>0.13700000000000001</v>
      </c>
      <c r="T252" s="5">
        <v>0.193</v>
      </c>
      <c r="U252" s="5">
        <v>0.21099999999999999</v>
      </c>
      <c r="V252" s="5">
        <v>0.38300000000000001</v>
      </c>
      <c r="W252" t="s">
        <v>1312</v>
      </c>
      <c r="X252" t="s">
        <v>1313</v>
      </c>
      <c r="Y252" t="s">
        <v>1315</v>
      </c>
      <c r="Z252" t="s">
        <v>488</v>
      </c>
    </row>
    <row r="253" spans="1:26" x14ac:dyDescent="0.3">
      <c r="A253" t="s">
        <v>797</v>
      </c>
      <c r="B253" t="s">
        <v>377</v>
      </c>
      <c r="C253" t="s">
        <v>50</v>
      </c>
      <c r="D253" t="s">
        <v>490</v>
      </c>
      <c r="E253" t="s">
        <v>101</v>
      </c>
      <c r="F253" s="3">
        <v>10.30367</v>
      </c>
      <c r="G253" s="3">
        <v>-2.3025199999999999</v>
      </c>
      <c r="H253" s="5">
        <v>0.67200000000000004</v>
      </c>
      <c r="I253" s="5">
        <v>0.49199999999999999</v>
      </c>
      <c r="J253" s="5">
        <v>0.05</v>
      </c>
      <c r="K253" s="5">
        <v>-1.077</v>
      </c>
      <c r="L253" s="5">
        <v>-0.38600000000000001</v>
      </c>
      <c r="M253" s="5">
        <v>0.89200000000000002</v>
      </c>
      <c r="N253" s="5">
        <v>0.67900000000000005</v>
      </c>
      <c r="O253" s="5">
        <v>0.77300000000000002</v>
      </c>
      <c r="P253" s="5">
        <v>0.6</v>
      </c>
      <c r="Q253" s="5">
        <v>0.70199999999999996</v>
      </c>
      <c r="R253" s="5">
        <v>0.26</v>
      </c>
      <c r="S253" s="5">
        <v>0.17299999999999999</v>
      </c>
      <c r="T253" s="5">
        <v>0.12</v>
      </c>
      <c r="U253" s="5">
        <v>0.192</v>
      </c>
      <c r="V253" s="5">
        <v>0.45400000000000001</v>
      </c>
      <c r="W253" t="s">
        <v>1312</v>
      </c>
      <c r="X253" t="s">
        <v>1313</v>
      </c>
      <c r="Y253" t="s">
        <v>1315</v>
      </c>
      <c r="Z253" t="s">
        <v>488</v>
      </c>
    </row>
    <row r="254" spans="1:26" x14ac:dyDescent="0.3">
      <c r="A254" t="s">
        <v>798</v>
      </c>
      <c r="B254" t="s">
        <v>380</v>
      </c>
      <c r="C254" t="s">
        <v>50</v>
      </c>
      <c r="D254" t="s">
        <v>484</v>
      </c>
      <c r="E254" t="s">
        <v>101</v>
      </c>
      <c r="F254" s="3">
        <v>9.9512800000000006</v>
      </c>
      <c r="G254" s="3">
        <v>-2.1771799999999999</v>
      </c>
      <c r="H254" s="5">
        <v>0.69299999999999995</v>
      </c>
      <c r="I254" s="5">
        <v>0.38900000000000001</v>
      </c>
      <c r="J254" s="5">
        <v>-1.016</v>
      </c>
      <c r="K254" s="5">
        <v>-0.39500000000000002</v>
      </c>
      <c r="L254" s="5">
        <v>-0.86299999999999999</v>
      </c>
      <c r="M254" s="5">
        <v>1.0229999999999999</v>
      </c>
      <c r="N254" s="5">
        <v>0.68500000000000005</v>
      </c>
      <c r="O254" s="5">
        <v>0.60099999999999998</v>
      </c>
      <c r="P254" s="5">
        <v>0.39200000000000002</v>
      </c>
      <c r="Q254" s="5">
        <v>0.66300000000000003</v>
      </c>
      <c r="R254" s="5">
        <v>0.28899999999999998</v>
      </c>
      <c r="S254" s="5">
        <v>0.25900000000000001</v>
      </c>
      <c r="T254" s="5">
        <v>0.23599999999999999</v>
      </c>
      <c r="U254" s="5">
        <v>0.187</v>
      </c>
      <c r="V254" s="5">
        <v>0.32700000000000001</v>
      </c>
      <c r="W254" t="s">
        <v>1312</v>
      </c>
      <c r="X254" t="s">
        <v>1313</v>
      </c>
      <c r="Y254" t="s">
        <v>1315</v>
      </c>
      <c r="Z254" t="s">
        <v>488</v>
      </c>
    </row>
    <row r="255" spans="1:26" x14ac:dyDescent="0.3">
      <c r="A255" t="s">
        <v>799</v>
      </c>
      <c r="B255" t="s">
        <v>380</v>
      </c>
      <c r="C255" t="s">
        <v>50</v>
      </c>
      <c r="D255" t="s">
        <v>490</v>
      </c>
      <c r="E255" t="s">
        <v>101</v>
      </c>
      <c r="F255" s="3">
        <v>9.9512800000000006</v>
      </c>
      <c r="G255" s="3">
        <v>-2.1771799999999999</v>
      </c>
      <c r="H255" s="5">
        <v>0.69299999999999995</v>
      </c>
      <c r="I255" s="5">
        <v>0.38900000000000001</v>
      </c>
      <c r="J255" s="5">
        <v>9.8000000000000004E-2</v>
      </c>
      <c r="K255" s="5">
        <v>-0.63500000000000001</v>
      </c>
      <c r="L255" s="5">
        <v>2.3E-2</v>
      </c>
      <c r="M255" s="5">
        <v>1.119</v>
      </c>
      <c r="N255" s="5">
        <v>0.85599999999999998</v>
      </c>
      <c r="O255" s="5">
        <v>0.69499999999999995</v>
      </c>
      <c r="P255" s="5">
        <v>0.59699999999999998</v>
      </c>
      <c r="Q255" s="5">
        <v>0.71399999999999997</v>
      </c>
      <c r="R255" s="5">
        <v>0.311</v>
      </c>
      <c r="S255" s="5">
        <v>0.3</v>
      </c>
      <c r="T255" s="5">
        <v>0.19600000000000001</v>
      </c>
      <c r="U255" s="5">
        <v>0.29099999999999998</v>
      </c>
      <c r="V255" s="5">
        <v>0.44600000000000001</v>
      </c>
      <c r="W255" t="s">
        <v>1312</v>
      </c>
      <c r="X255" t="s">
        <v>1313</v>
      </c>
      <c r="Y255" t="s">
        <v>1315</v>
      </c>
      <c r="Z255" t="s">
        <v>488</v>
      </c>
    </row>
    <row r="256" spans="1:26" x14ac:dyDescent="0.3">
      <c r="A256" t="s">
        <v>800</v>
      </c>
      <c r="B256" t="s">
        <v>382</v>
      </c>
      <c r="C256" t="s">
        <v>50</v>
      </c>
      <c r="D256" t="s">
        <v>484</v>
      </c>
      <c r="E256" t="s">
        <v>142</v>
      </c>
      <c r="F256" s="3">
        <v>10.37998</v>
      </c>
      <c r="G256" s="3">
        <v>-1.7097899999999999</v>
      </c>
      <c r="H256" s="5">
        <v>0.59099999999999997</v>
      </c>
      <c r="I256" s="5">
        <v>0.28899999999999998</v>
      </c>
      <c r="J256" s="5">
        <v>-0.72599999999999998</v>
      </c>
      <c r="K256" s="5">
        <v>2.4910000000000001</v>
      </c>
      <c r="L256" s="5">
        <v>-0.998</v>
      </c>
      <c r="M256" s="5">
        <v>1.579</v>
      </c>
      <c r="N256" s="5">
        <v>0.67200000000000004</v>
      </c>
      <c r="O256" s="5">
        <v>0.59499999999999997</v>
      </c>
      <c r="P256" s="5">
        <v>0.35899999999999999</v>
      </c>
      <c r="Q256" s="5">
        <v>0.34799999999999998</v>
      </c>
      <c r="R256" s="5">
        <v>0.29899999999999999</v>
      </c>
      <c r="S256" s="5">
        <v>0.29599999999999999</v>
      </c>
      <c r="T256" s="5">
        <v>0.85399999999999998</v>
      </c>
      <c r="U256" s="5">
        <v>0.112</v>
      </c>
      <c r="V256" s="5">
        <v>0.32500000000000001</v>
      </c>
      <c r="W256" t="s">
        <v>1316</v>
      </c>
      <c r="X256" t="s">
        <v>1317</v>
      </c>
      <c r="Y256" t="s">
        <v>1315</v>
      </c>
      <c r="Z256" t="s">
        <v>543</v>
      </c>
    </row>
    <row r="257" spans="1:26" x14ac:dyDescent="0.3">
      <c r="A257" t="s">
        <v>801</v>
      </c>
      <c r="B257" t="s">
        <v>382</v>
      </c>
      <c r="C257" t="s">
        <v>50</v>
      </c>
      <c r="D257" t="s">
        <v>490</v>
      </c>
      <c r="E257" t="s">
        <v>142</v>
      </c>
      <c r="F257" s="3">
        <v>10.37998</v>
      </c>
      <c r="G257" s="3">
        <v>-1.7097899999999999</v>
      </c>
      <c r="H257" s="5">
        <v>0.59099999999999997</v>
      </c>
      <c r="I257" s="5">
        <v>0.28899999999999998</v>
      </c>
      <c r="J257" s="5">
        <v>-0.20100000000000001</v>
      </c>
      <c r="K257" s="5">
        <v>3.048</v>
      </c>
      <c r="L257" s="5">
        <v>-8.4000000000000005E-2</v>
      </c>
      <c r="M257" s="5">
        <v>1.2689999999999999</v>
      </c>
      <c r="N257" s="5">
        <v>0.73699999999999999</v>
      </c>
      <c r="O257" s="5">
        <v>0.65900000000000003</v>
      </c>
      <c r="P257" s="5">
        <v>0.52300000000000002</v>
      </c>
      <c r="Q257" s="5">
        <v>0.46500000000000002</v>
      </c>
      <c r="R257" s="5">
        <v>0.26400000000000001</v>
      </c>
      <c r="S257" s="5">
        <v>0.35099999999999998</v>
      </c>
      <c r="T257" s="5">
        <v>0.94699999999999995</v>
      </c>
      <c r="U257" s="5">
        <v>0.22</v>
      </c>
      <c r="V257" s="5">
        <v>0.40600000000000003</v>
      </c>
      <c r="W257" t="s">
        <v>1316</v>
      </c>
      <c r="X257" t="s">
        <v>1317</v>
      </c>
      <c r="Y257" t="s">
        <v>1314</v>
      </c>
      <c r="Z257" t="s">
        <v>543</v>
      </c>
    </row>
    <row r="258" spans="1:26" x14ac:dyDescent="0.3">
      <c r="A258" t="s">
        <v>802</v>
      </c>
      <c r="B258" t="s">
        <v>384</v>
      </c>
      <c r="C258" t="s">
        <v>50</v>
      </c>
      <c r="D258" t="s">
        <v>484</v>
      </c>
      <c r="E258" t="s">
        <v>277</v>
      </c>
      <c r="F258" s="3">
        <v>10.81823</v>
      </c>
      <c r="G258" s="3">
        <v>-2.1164299999999998</v>
      </c>
      <c r="H258" s="5">
        <v>0.7</v>
      </c>
      <c r="I258" s="5">
        <v>0.47399999999999998</v>
      </c>
      <c r="J258" s="5">
        <v>-0.622</v>
      </c>
      <c r="K258" s="5">
        <v>-0.158</v>
      </c>
      <c r="L258" s="5">
        <v>-7.2999999999999995E-2</v>
      </c>
      <c r="M258" s="5">
        <v>1.226</v>
      </c>
      <c r="N258" s="5">
        <v>0.79900000000000004</v>
      </c>
      <c r="O258" s="5">
        <v>0.69299999999999995</v>
      </c>
      <c r="P258" s="5">
        <v>0.437</v>
      </c>
      <c r="Q258" s="5">
        <v>0.71</v>
      </c>
      <c r="R258" s="5">
        <v>0.32100000000000001</v>
      </c>
      <c r="S258" s="5">
        <v>0.34100000000000003</v>
      </c>
      <c r="T258" s="5">
        <v>0.33700000000000002</v>
      </c>
      <c r="U258" s="5">
        <v>0.29399999999999998</v>
      </c>
      <c r="V258" s="5">
        <v>0.36499999999999999</v>
      </c>
      <c r="W258" t="s">
        <v>1312</v>
      </c>
      <c r="X258" t="s">
        <v>1313</v>
      </c>
      <c r="Y258" t="s">
        <v>1315</v>
      </c>
      <c r="Z258" t="s">
        <v>488</v>
      </c>
    </row>
    <row r="259" spans="1:26" x14ac:dyDescent="0.3">
      <c r="A259" t="s">
        <v>803</v>
      </c>
      <c r="B259" t="s">
        <v>384</v>
      </c>
      <c r="C259" t="s">
        <v>50</v>
      </c>
      <c r="D259" t="s">
        <v>490</v>
      </c>
      <c r="E259" t="s">
        <v>277</v>
      </c>
      <c r="F259" s="3">
        <v>10.81823</v>
      </c>
      <c r="G259" s="3">
        <v>-2.1164299999999998</v>
      </c>
      <c r="H259" s="5">
        <v>0.7</v>
      </c>
      <c r="I259" s="5">
        <v>0.47399999999999998</v>
      </c>
      <c r="J259" s="5">
        <v>6.3E-2</v>
      </c>
      <c r="K259" s="5">
        <v>0.26900000000000002</v>
      </c>
      <c r="L259" s="5">
        <v>0.23100000000000001</v>
      </c>
      <c r="M259" s="5">
        <v>0.98</v>
      </c>
      <c r="N259" s="5">
        <v>0.76400000000000001</v>
      </c>
      <c r="O259" s="5">
        <v>0.80600000000000005</v>
      </c>
      <c r="P259" s="5">
        <v>0.621</v>
      </c>
      <c r="Q259" s="5">
        <v>0.77100000000000002</v>
      </c>
      <c r="R259" s="5">
        <v>0.30399999999999999</v>
      </c>
      <c r="S259" s="5">
        <v>0.247</v>
      </c>
      <c r="T259" s="5">
        <v>0.40799999999999997</v>
      </c>
      <c r="U259" s="5">
        <v>0.33</v>
      </c>
      <c r="V259" s="5">
        <v>0.46400000000000002</v>
      </c>
      <c r="W259" t="s">
        <v>1312</v>
      </c>
      <c r="X259" t="s">
        <v>1313</v>
      </c>
      <c r="Y259" t="s">
        <v>1315</v>
      </c>
      <c r="Z259" t="s">
        <v>488</v>
      </c>
    </row>
    <row r="260" spans="1:26" x14ac:dyDescent="0.3">
      <c r="A260" t="s">
        <v>804</v>
      </c>
      <c r="B260" t="s">
        <v>386</v>
      </c>
      <c r="C260" t="s">
        <v>50</v>
      </c>
      <c r="D260" t="s">
        <v>484</v>
      </c>
      <c r="E260" t="s">
        <v>277</v>
      </c>
      <c r="F260" s="3">
        <v>10.00638</v>
      </c>
      <c r="G260" s="3">
        <v>-2.0697899999999998</v>
      </c>
      <c r="H260" s="5">
        <v>0.74199999999999999</v>
      </c>
      <c r="I260" s="5">
        <v>0.161</v>
      </c>
      <c r="J260" s="5">
        <v>-0.68700000000000006</v>
      </c>
      <c r="K260" s="5">
        <v>1.377</v>
      </c>
      <c r="L260" s="5">
        <v>-5.8999999999999997E-2</v>
      </c>
      <c r="M260" s="5">
        <v>1.163</v>
      </c>
      <c r="N260" s="5">
        <v>0.68799999999999994</v>
      </c>
      <c r="O260" s="5">
        <v>0.59699999999999998</v>
      </c>
      <c r="P260" s="5">
        <v>0.434</v>
      </c>
      <c r="Q260" s="5">
        <v>0.63500000000000001</v>
      </c>
      <c r="R260" s="5">
        <v>0.24</v>
      </c>
      <c r="S260" s="5">
        <v>0.17199999999999999</v>
      </c>
      <c r="T260" s="5">
        <v>0.624</v>
      </c>
      <c r="U260" s="5">
        <v>0.29599999999999999</v>
      </c>
      <c r="V260" s="5">
        <v>0.35199999999999998</v>
      </c>
      <c r="W260" t="s">
        <v>1316</v>
      </c>
      <c r="X260" t="s">
        <v>1317</v>
      </c>
      <c r="Y260" t="s">
        <v>1315</v>
      </c>
      <c r="Z260" t="s">
        <v>488</v>
      </c>
    </row>
    <row r="261" spans="1:26" x14ac:dyDescent="0.3">
      <c r="A261" t="s">
        <v>805</v>
      </c>
      <c r="B261" t="s">
        <v>386</v>
      </c>
      <c r="C261" t="s">
        <v>50</v>
      </c>
      <c r="D261" t="s">
        <v>490</v>
      </c>
      <c r="E261" t="s">
        <v>277</v>
      </c>
      <c r="F261" s="3">
        <v>10.00638</v>
      </c>
      <c r="G261" s="3">
        <v>-2.0697899999999998</v>
      </c>
      <c r="H261" s="5">
        <v>0.74199999999999999</v>
      </c>
      <c r="I261" s="5">
        <v>0.161</v>
      </c>
      <c r="J261" s="5">
        <v>0.69199999999999995</v>
      </c>
      <c r="K261" s="5">
        <v>0.88100000000000001</v>
      </c>
      <c r="L261" s="5">
        <v>-0.20899999999999999</v>
      </c>
      <c r="M261" s="5">
        <v>1.079</v>
      </c>
      <c r="N261" s="5">
        <v>0.65600000000000003</v>
      </c>
      <c r="O261" s="5">
        <v>0.872</v>
      </c>
      <c r="P261" s="5">
        <v>0.69199999999999995</v>
      </c>
      <c r="Q261" s="5">
        <v>0.71799999999999997</v>
      </c>
      <c r="R261" s="5">
        <v>0.318</v>
      </c>
      <c r="S261" s="5">
        <v>0.11600000000000001</v>
      </c>
      <c r="T261" s="5">
        <v>0.54200000000000004</v>
      </c>
      <c r="U261" s="5">
        <v>0.27900000000000003</v>
      </c>
      <c r="V261" s="5">
        <v>0.51800000000000002</v>
      </c>
      <c r="W261" t="s">
        <v>1316</v>
      </c>
      <c r="X261" t="s">
        <v>1317</v>
      </c>
      <c r="Y261" t="s">
        <v>1315</v>
      </c>
      <c r="Z261" t="s">
        <v>488</v>
      </c>
    </row>
    <row r="262" spans="1:26" x14ac:dyDescent="0.3">
      <c r="A262" t="s">
        <v>806</v>
      </c>
      <c r="B262" t="s">
        <v>389</v>
      </c>
      <c r="C262" t="s">
        <v>50</v>
      </c>
      <c r="D262" t="s">
        <v>484</v>
      </c>
      <c r="E262" t="s">
        <v>101</v>
      </c>
      <c r="F262" s="3">
        <v>9.9979999999999993</v>
      </c>
      <c r="G262" s="3">
        <v>-2.7299199999999999</v>
      </c>
      <c r="H262" s="5">
        <v>0.65400000000000003</v>
      </c>
      <c r="I262" s="5">
        <v>0.64200000000000002</v>
      </c>
      <c r="J262" s="5">
        <v>-0.85299999999999998</v>
      </c>
      <c r="K262" s="5">
        <v>-0.38700000000000001</v>
      </c>
      <c r="L262" s="5">
        <v>-0.68300000000000005</v>
      </c>
      <c r="M262" s="5">
        <v>1.2529999999999999</v>
      </c>
      <c r="N262" s="5">
        <v>0.80500000000000005</v>
      </c>
      <c r="O262" s="5">
        <v>0.57199999999999995</v>
      </c>
      <c r="P262" s="5">
        <v>0.377</v>
      </c>
      <c r="Q262" s="5">
        <v>0.69599999999999995</v>
      </c>
      <c r="R262" s="5">
        <v>0.37</v>
      </c>
      <c r="S262" s="5">
        <v>0.21</v>
      </c>
      <c r="T262" s="5">
        <v>0.29599999999999999</v>
      </c>
      <c r="U262" s="5">
        <v>0.128</v>
      </c>
      <c r="V262" s="5">
        <v>0.32400000000000001</v>
      </c>
      <c r="W262" t="s">
        <v>1312</v>
      </c>
      <c r="X262" t="s">
        <v>1313</v>
      </c>
      <c r="Y262" t="s">
        <v>1315</v>
      </c>
      <c r="Z262" t="s">
        <v>488</v>
      </c>
    </row>
    <row r="263" spans="1:26" x14ac:dyDescent="0.3">
      <c r="A263" t="s">
        <v>807</v>
      </c>
      <c r="B263" t="s">
        <v>389</v>
      </c>
      <c r="C263" t="s">
        <v>50</v>
      </c>
      <c r="D263" t="s">
        <v>490</v>
      </c>
      <c r="E263" t="s">
        <v>101</v>
      </c>
      <c r="F263" s="3">
        <v>9.9979999999999993</v>
      </c>
      <c r="G263" s="3">
        <v>-2.7299199999999999</v>
      </c>
      <c r="H263" s="5">
        <v>0.65400000000000003</v>
      </c>
      <c r="I263" s="5">
        <v>0.64200000000000002</v>
      </c>
      <c r="J263" s="5">
        <v>0.255</v>
      </c>
      <c r="K263" s="5">
        <v>0.74299999999999999</v>
      </c>
      <c r="L263" s="5">
        <v>-0.77100000000000002</v>
      </c>
      <c r="M263" s="5">
        <v>1.006</v>
      </c>
      <c r="N263" s="5">
        <v>0.71599999999999997</v>
      </c>
      <c r="O263" s="5">
        <v>0.67600000000000005</v>
      </c>
      <c r="P263" s="5">
        <v>0.58399999999999996</v>
      </c>
      <c r="Q263" s="5">
        <v>0.75600000000000001</v>
      </c>
      <c r="R263" s="5">
        <v>0.27400000000000002</v>
      </c>
      <c r="S263" s="5">
        <v>0.19800000000000001</v>
      </c>
      <c r="T263" s="5">
        <v>0.48399999999999999</v>
      </c>
      <c r="U263" s="5">
        <v>0.11700000000000001</v>
      </c>
      <c r="V263" s="5">
        <v>0.44500000000000001</v>
      </c>
      <c r="W263" t="s">
        <v>1312</v>
      </c>
      <c r="X263" t="s">
        <v>1313</v>
      </c>
      <c r="Y263" t="s">
        <v>1315</v>
      </c>
      <c r="Z263" t="s">
        <v>488</v>
      </c>
    </row>
    <row r="264" spans="1:26" x14ac:dyDescent="0.3">
      <c r="A264" t="s">
        <v>808</v>
      </c>
      <c r="B264" t="s">
        <v>391</v>
      </c>
      <c r="C264" t="s">
        <v>50</v>
      </c>
      <c r="D264" t="s">
        <v>484</v>
      </c>
      <c r="E264" t="s">
        <v>142</v>
      </c>
      <c r="F264" s="3">
        <v>10.710140000000001</v>
      </c>
      <c r="G264" s="3">
        <v>-3.1711800000000001</v>
      </c>
      <c r="H264" s="5">
        <v>0.81399999999999995</v>
      </c>
      <c r="I264" s="5">
        <v>0.33600000000000002</v>
      </c>
      <c r="J264" s="5">
        <v>-0.628</v>
      </c>
      <c r="K264" s="5">
        <v>2.383</v>
      </c>
      <c r="L264" s="5">
        <v>-0.35699999999999998</v>
      </c>
      <c r="M264" s="5">
        <v>1.341</v>
      </c>
      <c r="N264" s="5">
        <v>0.81499999999999995</v>
      </c>
      <c r="O264" s="5">
        <v>0.79500000000000004</v>
      </c>
      <c r="P264" s="5">
        <v>0.51200000000000001</v>
      </c>
      <c r="Q264" s="5">
        <v>0.308</v>
      </c>
      <c r="R264" s="5">
        <v>0.251</v>
      </c>
      <c r="S264" s="5">
        <v>0.32700000000000001</v>
      </c>
      <c r="T264" s="5">
        <v>0.80900000000000005</v>
      </c>
      <c r="U264" s="5">
        <v>0.22600000000000001</v>
      </c>
      <c r="V264" s="5">
        <v>0.40100000000000002</v>
      </c>
      <c r="W264" t="s">
        <v>1316</v>
      </c>
      <c r="X264" t="s">
        <v>1317</v>
      </c>
      <c r="Y264" t="s">
        <v>1314</v>
      </c>
      <c r="Z264" t="s">
        <v>543</v>
      </c>
    </row>
    <row r="265" spans="1:26" x14ac:dyDescent="0.3">
      <c r="A265" t="s">
        <v>809</v>
      </c>
      <c r="B265" t="s">
        <v>391</v>
      </c>
      <c r="C265" t="s">
        <v>50</v>
      </c>
      <c r="D265" t="s">
        <v>490</v>
      </c>
      <c r="E265" t="s">
        <v>142</v>
      </c>
      <c r="F265" s="3">
        <v>10.710140000000001</v>
      </c>
      <c r="G265" s="3">
        <v>-3.1711800000000001</v>
      </c>
      <c r="H265" s="5">
        <v>0.81399999999999995</v>
      </c>
      <c r="I265" s="5">
        <v>0.33600000000000002</v>
      </c>
      <c r="J265" s="5">
        <v>1.153</v>
      </c>
      <c r="K265" s="5">
        <v>2.36</v>
      </c>
      <c r="L265" s="5">
        <v>0.502</v>
      </c>
      <c r="M265" s="5">
        <v>1.3009999999999999</v>
      </c>
      <c r="N265" s="5">
        <v>0.78500000000000003</v>
      </c>
      <c r="O265" s="5">
        <v>0.81</v>
      </c>
      <c r="P265" s="5">
        <v>0.74199999999999999</v>
      </c>
      <c r="Q265" s="5">
        <v>0.46899999999999997</v>
      </c>
      <c r="R265" s="5">
        <v>0.26200000000000001</v>
      </c>
      <c r="S265" s="5">
        <v>0.314</v>
      </c>
      <c r="T265" s="5">
        <v>0.80500000000000005</v>
      </c>
      <c r="U265" s="5">
        <v>0.32800000000000001</v>
      </c>
      <c r="V265" s="5">
        <v>0.54500000000000004</v>
      </c>
      <c r="W265" t="s">
        <v>1316</v>
      </c>
      <c r="X265" t="s">
        <v>1317</v>
      </c>
      <c r="Y265" t="s">
        <v>1315</v>
      </c>
      <c r="Z265" t="s">
        <v>488</v>
      </c>
    </row>
    <row r="266" spans="1:26" x14ac:dyDescent="0.3">
      <c r="A266" t="s">
        <v>810</v>
      </c>
      <c r="B266" t="s">
        <v>393</v>
      </c>
      <c r="C266" t="s">
        <v>50</v>
      </c>
      <c r="D266" t="s">
        <v>484</v>
      </c>
      <c r="E266" t="s">
        <v>142</v>
      </c>
      <c r="F266" s="3">
        <v>10.43806</v>
      </c>
      <c r="G266" s="3">
        <v>-1.6168499999999999</v>
      </c>
      <c r="H266" s="5">
        <v>0.61799999999999999</v>
      </c>
      <c r="I266" s="5">
        <v>0.48</v>
      </c>
      <c r="J266" s="5">
        <v>-0.58599999999999997</v>
      </c>
      <c r="K266" s="5">
        <v>-0.64600000000000002</v>
      </c>
      <c r="L266" s="5">
        <v>-0.622</v>
      </c>
      <c r="M266" s="5">
        <v>1.589</v>
      </c>
      <c r="N266" s="5">
        <v>0.78900000000000003</v>
      </c>
      <c r="O266" s="5">
        <v>0.48799999999999999</v>
      </c>
      <c r="P266" s="5">
        <v>0.35899999999999999</v>
      </c>
      <c r="Q266" s="5">
        <v>0.39300000000000002</v>
      </c>
      <c r="R266" s="5">
        <v>0.26500000000000001</v>
      </c>
      <c r="S266" s="5">
        <v>0.42599999999999999</v>
      </c>
      <c r="T266" s="5">
        <v>0.245</v>
      </c>
      <c r="U266" s="5">
        <v>0.126</v>
      </c>
      <c r="V266" s="5">
        <v>0.31900000000000001</v>
      </c>
      <c r="W266" t="s">
        <v>1320</v>
      </c>
      <c r="X266" t="s">
        <v>1321</v>
      </c>
      <c r="Y266" t="s">
        <v>1315</v>
      </c>
      <c r="Z266" t="s">
        <v>488</v>
      </c>
    </row>
    <row r="267" spans="1:26" x14ac:dyDescent="0.3">
      <c r="A267" t="s">
        <v>811</v>
      </c>
      <c r="B267" t="s">
        <v>393</v>
      </c>
      <c r="C267" t="s">
        <v>50</v>
      </c>
      <c r="D267" t="s">
        <v>490</v>
      </c>
      <c r="E267" t="s">
        <v>142</v>
      </c>
      <c r="F267" s="3">
        <v>10.43806</v>
      </c>
      <c r="G267" s="3">
        <v>-1.6168499999999999</v>
      </c>
      <c r="H267" s="5">
        <v>0.61799999999999999</v>
      </c>
      <c r="I267" s="5">
        <v>0.48</v>
      </c>
      <c r="J267" s="5">
        <v>1.052</v>
      </c>
      <c r="K267" s="5">
        <v>-0.39500000000000002</v>
      </c>
      <c r="L267" s="5">
        <v>-0.59499999999999997</v>
      </c>
      <c r="M267" s="5">
        <v>1.19</v>
      </c>
      <c r="N267" s="5">
        <v>0.70199999999999996</v>
      </c>
      <c r="O267" s="5">
        <v>0.73299999999999998</v>
      </c>
      <c r="P267" s="5">
        <v>0.626</v>
      </c>
      <c r="Q267" s="5">
        <v>0.47799999999999998</v>
      </c>
      <c r="R267" s="5">
        <v>0.26800000000000002</v>
      </c>
      <c r="S267" s="5">
        <v>0.38500000000000001</v>
      </c>
      <c r="T267" s="5">
        <v>0.28599999999999998</v>
      </c>
      <c r="U267" s="5">
        <v>0.13</v>
      </c>
      <c r="V267" s="5">
        <v>0.49299999999999999</v>
      </c>
      <c r="W267" t="s">
        <v>1318</v>
      </c>
      <c r="X267" t="s">
        <v>1319</v>
      </c>
      <c r="Y267" t="s">
        <v>1314</v>
      </c>
      <c r="Z267" t="s">
        <v>488</v>
      </c>
    </row>
    <row r="268" spans="1:26" x14ac:dyDescent="0.3">
      <c r="A268" t="s">
        <v>812</v>
      </c>
      <c r="B268" t="s">
        <v>396</v>
      </c>
      <c r="C268" t="s">
        <v>50</v>
      </c>
      <c r="D268" t="s">
        <v>484</v>
      </c>
      <c r="E268" t="s">
        <v>75</v>
      </c>
      <c r="F268" s="3">
        <v>10.064439999999999</v>
      </c>
      <c r="G268" s="3">
        <v>-2.1092399999999998</v>
      </c>
      <c r="H268" s="5">
        <v>0.61499999999999999</v>
      </c>
      <c r="I268" s="5">
        <v>0.748</v>
      </c>
      <c r="J268" s="5">
        <v>-1.038</v>
      </c>
      <c r="K268" s="5">
        <v>-0.6</v>
      </c>
      <c r="L268" s="5">
        <v>-0.96699999999999997</v>
      </c>
      <c r="M268" s="5">
        <v>1.4830000000000001</v>
      </c>
      <c r="N268" s="5">
        <v>0.76</v>
      </c>
      <c r="O268" s="5">
        <v>0.48899999999999999</v>
      </c>
      <c r="P268" s="5">
        <v>0.33100000000000002</v>
      </c>
      <c r="Q268" s="5">
        <v>0.39400000000000002</v>
      </c>
      <c r="R268" s="5">
        <v>0.628</v>
      </c>
      <c r="S268" s="5">
        <v>0.32400000000000001</v>
      </c>
      <c r="T268" s="5">
        <v>0.17599999999999999</v>
      </c>
      <c r="U268" s="5">
        <v>5.1999999999999998E-2</v>
      </c>
      <c r="V268" s="5">
        <v>0.29299999999999998</v>
      </c>
      <c r="W268" t="s">
        <v>1312</v>
      </c>
      <c r="X268" t="s">
        <v>1313</v>
      </c>
      <c r="Y268" t="s">
        <v>1315</v>
      </c>
      <c r="Z268" t="s">
        <v>488</v>
      </c>
    </row>
    <row r="269" spans="1:26" x14ac:dyDescent="0.3">
      <c r="A269" t="s">
        <v>813</v>
      </c>
      <c r="B269" t="s">
        <v>396</v>
      </c>
      <c r="C269" t="s">
        <v>50</v>
      </c>
      <c r="D269" t="s">
        <v>490</v>
      </c>
      <c r="E269" t="s">
        <v>75</v>
      </c>
      <c r="F269" s="3">
        <v>10.064439999999999</v>
      </c>
      <c r="G269" s="3">
        <v>-2.1092399999999998</v>
      </c>
      <c r="H269" s="5">
        <v>0.61499999999999999</v>
      </c>
      <c r="I269" s="5">
        <v>0.748</v>
      </c>
      <c r="J269" s="5">
        <v>1.1539999999999999</v>
      </c>
      <c r="K269" s="5">
        <v>-0.97499999999999998</v>
      </c>
      <c r="L269" s="5">
        <v>-0.63500000000000001</v>
      </c>
      <c r="M269" s="5">
        <v>1.07</v>
      </c>
      <c r="N269" s="5">
        <v>0.875</v>
      </c>
      <c r="O269" s="5">
        <v>0.64600000000000002</v>
      </c>
      <c r="P269" s="5">
        <v>0.61299999999999999</v>
      </c>
      <c r="Q269" s="5">
        <v>0.48099999999999998</v>
      </c>
      <c r="R269" s="5">
        <v>0.55700000000000005</v>
      </c>
      <c r="S269" s="5">
        <v>0.34300000000000003</v>
      </c>
      <c r="T269" s="5">
        <v>0.114</v>
      </c>
      <c r="U269" s="5">
        <v>9.0999999999999998E-2</v>
      </c>
      <c r="V269" s="5">
        <v>0.48299999999999998</v>
      </c>
      <c r="W269" t="s">
        <v>1318</v>
      </c>
      <c r="X269" t="s">
        <v>1319</v>
      </c>
      <c r="Y269" t="s">
        <v>1314</v>
      </c>
      <c r="Z269" t="s">
        <v>488</v>
      </c>
    </row>
    <row r="270" spans="1:26" x14ac:dyDescent="0.3">
      <c r="A270" t="s">
        <v>814</v>
      </c>
      <c r="B270" t="s">
        <v>399</v>
      </c>
      <c r="C270" t="s">
        <v>50</v>
      </c>
      <c r="D270" t="s">
        <v>484</v>
      </c>
      <c r="E270" t="s">
        <v>277</v>
      </c>
      <c r="F270" s="3">
        <v>9.8689400000000003</v>
      </c>
      <c r="G270" s="3">
        <v>-1.8536300000000001</v>
      </c>
      <c r="H270" s="5">
        <v>0.64</v>
      </c>
      <c r="I270" s="5">
        <v>0.54100000000000004</v>
      </c>
      <c r="J270" s="5">
        <v>-0.24399999999999999</v>
      </c>
      <c r="K270" s="5">
        <v>1.159</v>
      </c>
      <c r="L270" s="5">
        <v>-0.18099999999999999</v>
      </c>
      <c r="M270" s="5">
        <v>1.2709999999999999</v>
      </c>
      <c r="N270" s="5">
        <v>0.76800000000000002</v>
      </c>
      <c r="O270" s="5">
        <v>0.48499999999999999</v>
      </c>
      <c r="P270" s="5">
        <v>0.38900000000000001</v>
      </c>
      <c r="Q270" s="5">
        <v>0.65</v>
      </c>
      <c r="R270" s="5">
        <v>0.27100000000000002</v>
      </c>
      <c r="S270" s="5">
        <v>0.20799999999999999</v>
      </c>
      <c r="T270" s="5">
        <v>0.58299999999999996</v>
      </c>
      <c r="U270" s="5">
        <v>0.247</v>
      </c>
      <c r="V270" s="5">
        <v>0.34100000000000003</v>
      </c>
      <c r="W270" t="s">
        <v>1316</v>
      </c>
      <c r="X270" t="s">
        <v>1317</v>
      </c>
      <c r="Y270" t="s">
        <v>1315</v>
      </c>
      <c r="Z270" t="s">
        <v>488</v>
      </c>
    </row>
    <row r="271" spans="1:26" x14ac:dyDescent="0.3">
      <c r="A271" t="s">
        <v>815</v>
      </c>
      <c r="B271" t="s">
        <v>399</v>
      </c>
      <c r="C271" t="s">
        <v>50</v>
      </c>
      <c r="D271" t="s">
        <v>490</v>
      </c>
      <c r="E271" t="s">
        <v>277</v>
      </c>
      <c r="F271" s="3">
        <v>9.8689400000000003</v>
      </c>
      <c r="G271" s="3">
        <v>-1.8536300000000001</v>
      </c>
      <c r="H271" s="5">
        <v>0.64</v>
      </c>
      <c r="I271" s="5">
        <v>0.54100000000000004</v>
      </c>
      <c r="J271" s="5">
        <v>0.106</v>
      </c>
      <c r="K271" s="5">
        <v>0.51500000000000001</v>
      </c>
      <c r="L271" s="5">
        <v>-0.46500000000000002</v>
      </c>
      <c r="M271" s="5">
        <v>1.1479999999999999</v>
      </c>
      <c r="N271" s="5">
        <v>0.69699999999999995</v>
      </c>
      <c r="O271" s="5">
        <v>0.58899999999999997</v>
      </c>
      <c r="P271" s="5">
        <v>0.55100000000000005</v>
      </c>
      <c r="Q271" s="5">
        <v>0.73499999999999999</v>
      </c>
      <c r="R271" s="5">
        <v>0.27200000000000002</v>
      </c>
      <c r="S271" s="5">
        <v>0.19600000000000001</v>
      </c>
      <c r="T271" s="5">
        <v>0.47499999999999998</v>
      </c>
      <c r="U271" s="5">
        <v>0.21299999999999999</v>
      </c>
      <c r="V271" s="5">
        <v>0.42</v>
      </c>
      <c r="W271" t="s">
        <v>1312</v>
      </c>
      <c r="X271" t="s">
        <v>1313</v>
      </c>
      <c r="Y271" t="s">
        <v>1314</v>
      </c>
      <c r="Z271" t="s">
        <v>488</v>
      </c>
    </row>
    <row r="272" spans="1:26" x14ac:dyDescent="0.3">
      <c r="A272" t="s">
        <v>816</v>
      </c>
      <c r="B272" t="s">
        <v>401</v>
      </c>
      <c r="C272" t="s">
        <v>50</v>
      </c>
      <c r="D272" t="s">
        <v>484</v>
      </c>
      <c r="E272" t="s">
        <v>101</v>
      </c>
      <c r="F272" s="3">
        <v>10.685129999999999</v>
      </c>
      <c r="G272" s="3">
        <v>-2.69577</v>
      </c>
      <c r="H272" s="5">
        <v>0.69899999999999995</v>
      </c>
      <c r="I272" s="5">
        <v>0.18099999999999999</v>
      </c>
      <c r="J272" s="5">
        <v>-1.0009999999999999</v>
      </c>
      <c r="K272" s="5">
        <v>-0.91700000000000004</v>
      </c>
      <c r="L272" s="5">
        <v>-0.89200000000000002</v>
      </c>
      <c r="M272" s="5">
        <v>1.0760000000000001</v>
      </c>
      <c r="N272" s="5">
        <v>0.74299999999999999</v>
      </c>
      <c r="O272" s="5">
        <v>0.79700000000000004</v>
      </c>
      <c r="P272" s="5">
        <v>0.435</v>
      </c>
      <c r="Q272" s="5">
        <v>0.66100000000000003</v>
      </c>
      <c r="R272" s="5">
        <v>0.246</v>
      </c>
      <c r="S272" s="5">
        <v>0.19800000000000001</v>
      </c>
      <c r="T272" s="5">
        <v>0.14299999999999999</v>
      </c>
      <c r="U272" s="5">
        <v>9.2999999999999999E-2</v>
      </c>
      <c r="V272" s="5">
        <v>0.36199999999999999</v>
      </c>
      <c r="W272" t="s">
        <v>1312</v>
      </c>
      <c r="X272" t="s">
        <v>1313</v>
      </c>
      <c r="Y272" t="s">
        <v>1315</v>
      </c>
      <c r="Z272" t="s">
        <v>488</v>
      </c>
    </row>
    <row r="273" spans="1:26" x14ac:dyDescent="0.3">
      <c r="A273" t="s">
        <v>817</v>
      </c>
      <c r="B273" t="s">
        <v>401</v>
      </c>
      <c r="C273" t="s">
        <v>50</v>
      </c>
      <c r="D273" t="s">
        <v>490</v>
      </c>
      <c r="E273" t="s">
        <v>101</v>
      </c>
      <c r="F273" s="3">
        <v>10.685129999999999</v>
      </c>
      <c r="G273" s="3">
        <v>-2.69577</v>
      </c>
      <c r="H273" s="5">
        <v>0.69899999999999995</v>
      </c>
      <c r="I273" s="5">
        <v>0.18099999999999999</v>
      </c>
      <c r="J273" s="5">
        <v>0.20599999999999999</v>
      </c>
      <c r="K273" s="5">
        <v>-0.88</v>
      </c>
      <c r="L273" s="5">
        <v>-0.44700000000000001</v>
      </c>
      <c r="M273" s="5">
        <v>0.94099999999999995</v>
      </c>
      <c r="N273" s="5">
        <v>0.69599999999999995</v>
      </c>
      <c r="O273" s="5">
        <v>0.79700000000000004</v>
      </c>
      <c r="P273" s="5">
        <v>0.627</v>
      </c>
      <c r="Q273" s="5">
        <v>0.74</v>
      </c>
      <c r="R273" s="5">
        <v>0.28599999999999998</v>
      </c>
      <c r="S273" s="5">
        <v>0.14499999999999999</v>
      </c>
      <c r="T273" s="5">
        <v>0.14899999999999999</v>
      </c>
      <c r="U273" s="5">
        <v>0.14499999999999999</v>
      </c>
      <c r="V273" s="5">
        <v>0.47099999999999997</v>
      </c>
      <c r="W273" t="s">
        <v>1312</v>
      </c>
      <c r="X273" t="s">
        <v>1313</v>
      </c>
      <c r="Y273" t="s">
        <v>1314</v>
      </c>
      <c r="Z273" t="s">
        <v>488</v>
      </c>
    </row>
    <row r="274" spans="1:26" x14ac:dyDescent="0.3">
      <c r="A274" t="s">
        <v>818</v>
      </c>
      <c r="B274" t="s">
        <v>403</v>
      </c>
      <c r="C274" t="s">
        <v>50</v>
      </c>
      <c r="D274" t="s">
        <v>484</v>
      </c>
      <c r="E274" t="s">
        <v>75</v>
      </c>
      <c r="F274" s="3">
        <v>10.87635</v>
      </c>
      <c r="G274" s="3">
        <v>-1.6638599999999999</v>
      </c>
      <c r="H274" s="5">
        <v>0.68700000000000006</v>
      </c>
      <c r="I274" s="5">
        <v>0.25</v>
      </c>
      <c r="J274" s="5">
        <v>-1.004</v>
      </c>
      <c r="K274" s="5">
        <v>-0.752</v>
      </c>
      <c r="L274" s="5">
        <v>-0.99299999999999999</v>
      </c>
      <c r="M274" s="5">
        <v>1.62</v>
      </c>
      <c r="N274" s="5">
        <v>0.91100000000000003</v>
      </c>
      <c r="O274" s="5">
        <v>0.44</v>
      </c>
      <c r="P274" s="5">
        <v>0.35699999999999998</v>
      </c>
      <c r="Q274" s="5">
        <v>0.42099999999999999</v>
      </c>
      <c r="R274" s="5">
        <v>0.63800000000000001</v>
      </c>
      <c r="S274" s="5">
        <v>0.34300000000000003</v>
      </c>
      <c r="T274" s="5">
        <v>0.185</v>
      </c>
      <c r="U274" s="5">
        <v>0.06</v>
      </c>
      <c r="V274" s="5">
        <v>0.29899999999999999</v>
      </c>
      <c r="W274" t="s">
        <v>1312</v>
      </c>
      <c r="X274" t="s">
        <v>1313</v>
      </c>
      <c r="Y274" t="s">
        <v>1314</v>
      </c>
      <c r="Z274" t="s">
        <v>488</v>
      </c>
    </row>
    <row r="275" spans="1:26" x14ac:dyDescent="0.3">
      <c r="A275" t="s">
        <v>819</v>
      </c>
      <c r="B275" t="s">
        <v>403</v>
      </c>
      <c r="C275" t="s">
        <v>50</v>
      </c>
      <c r="D275" t="s">
        <v>490</v>
      </c>
      <c r="E275" t="s">
        <v>75</v>
      </c>
      <c r="F275" s="3">
        <v>10.87635</v>
      </c>
      <c r="G275" s="3">
        <v>-1.6638599999999999</v>
      </c>
      <c r="H275" s="5">
        <v>0.68700000000000006</v>
      </c>
      <c r="I275" s="5">
        <v>0.25</v>
      </c>
      <c r="J275" s="5">
        <v>0.188</v>
      </c>
      <c r="K275" s="5">
        <v>-0.38300000000000001</v>
      </c>
      <c r="L275" s="5">
        <v>-0.53700000000000003</v>
      </c>
      <c r="M275" s="5">
        <v>1.105</v>
      </c>
      <c r="N275" s="5">
        <v>0.59799999999999998</v>
      </c>
      <c r="O275" s="5">
        <v>0.92700000000000005</v>
      </c>
      <c r="P275" s="5">
        <v>0.64600000000000002</v>
      </c>
      <c r="Q275" s="5">
        <v>0.41799999999999998</v>
      </c>
      <c r="R275" s="5">
        <v>0.55400000000000005</v>
      </c>
      <c r="S275" s="5">
        <v>0.28299999999999997</v>
      </c>
      <c r="T275" s="5">
        <v>0.246</v>
      </c>
      <c r="U275" s="5">
        <v>0.114</v>
      </c>
      <c r="V275" s="5">
        <v>0.49</v>
      </c>
      <c r="W275" t="s">
        <v>1318</v>
      </c>
      <c r="X275" t="s">
        <v>1319</v>
      </c>
      <c r="Y275" t="s">
        <v>1315</v>
      </c>
      <c r="Z275" t="s">
        <v>488</v>
      </c>
    </row>
    <row r="276" spans="1:26" x14ac:dyDescent="0.3">
      <c r="A276" t="s">
        <v>820</v>
      </c>
      <c r="B276" t="s">
        <v>405</v>
      </c>
      <c r="C276" t="s">
        <v>50</v>
      </c>
      <c r="D276" t="s">
        <v>484</v>
      </c>
      <c r="E276" t="s">
        <v>142</v>
      </c>
      <c r="F276" s="3">
        <v>10.75248</v>
      </c>
      <c r="G276" s="3">
        <v>-2.3543400000000001</v>
      </c>
      <c r="H276" s="5">
        <v>0.77300000000000002</v>
      </c>
      <c r="I276" s="5">
        <v>0.41599999999999998</v>
      </c>
      <c r="J276" s="5">
        <v>-0.32200000000000001</v>
      </c>
      <c r="K276" s="5">
        <v>-1.37</v>
      </c>
      <c r="L276" s="5">
        <v>-0.82899999999999996</v>
      </c>
      <c r="M276" s="5">
        <v>1.119</v>
      </c>
      <c r="N276" s="5">
        <v>0.879</v>
      </c>
      <c r="O276" s="5">
        <v>0.68100000000000005</v>
      </c>
      <c r="P276" s="5">
        <v>0.48799999999999999</v>
      </c>
      <c r="Q276" s="5">
        <v>0.39200000000000002</v>
      </c>
      <c r="R276" s="5">
        <v>0.39100000000000001</v>
      </c>
      <c r="S276" s="5">
        <v>0.28399999999999997</v>
      </c>
      <c r="T276" s="5">
        <v>1.7999999999999999E-2</v>
      </c>
      <c r="U276" s="5">
        <v>7.1999999999999995E-2</v>
      </c>
      <c r="V276" s="5">
        <v>0.39200000000000002</v>
      </c>
      <c r="W276" t="s">
        <v>1318</v>
      </c>
      <c r="X276" t="s">
        <v>1319</v>
      </c>
      <c r="Y276" t="s">
        <v>1315</v>
      </c>
      <c r="Z276" t="s">
        <v>488</v>
      </c>
    </row>
    <row r="277" spans="1:26" x14ac:dyDescent="0.3">
      <c r="A277" t="s">
        <v>821</v>
      </c>
      <c r="B277" t="s">
        <v>405</v>
      </c>
      <c r="C277" t="s">
        <v>50</v>
      </c>
      <c r="D277" t="s">
        <v>490</v>
      </c>
      <c r="E277" t="s">
        <v>142</v>
      </c>
      <c r="F277" s="3">
        <v>10.75248</v>
      </c>
      <c r="G277" s="3">
        <v>-2.3543400000000001</v>
      </c>
      <c r="H277" s="5">
        <v>0.77300000000000002</v>
      </c>
      <c r="I277" s="5">
        <v>0.41599999999999998</v>
      </c>
      <c r="J277" s="5">
        <v>1.5369999999999999</v>
      </c>
      <c r="K277" s="5">
        <v>-1.0780000000000001</v>
      </c>
      <c r="L277" s="5">
        <v>8.5000000000000006E-2</v>
      </c>
      <c r="M277" s="5">
        <v>0.83399999999999996</v>
      </c>
      <c r="N277" s="5">
        <v>0.67400000000000004</v>
      </c>
      <c r="O277" s="5">
        <v>0.82699999999999996</v>
      </c>
      <c r="P277" s="5">
        <v>0.748</v>
      </c>
      <c r="Q277" s="5">
        <v>0.497</v>
      </c>
      <c r="R277" s="5">
        <v>0.33800000000000002</v>
      </c>
      <c r="S277" s="5">
        <v>0.189</v>
      </c>
      <c r="T277" s="5">
        <v>6.7000000000000004E-2</v>
      </c>
      <c r="U277" s="5">
        <v>0.18</v>
      </c>
      <c r="V277" s="5">
        <v>0.56200000000000006</v>
      </c>
      <c r="W277" t="s">
        <v>1318</v>
      </c>
      <c r="X277" t="s">
        <v>1319</v>
      </c>
      <c r="Y277" t="s">
        <v>1314</v>
      </c>
      <c r="Z277" t="s">
        <v>488</v>
      </c>
    </row>
    <row r="278" spans="1:26" x14ac:dyDescent="0.3">
      <c r="A278" t="s">
        <v>822</v>
      </c>
      <c r="B278" t="s">
        <v>408</v>
      </c>
      <c r="C278" t="s">
        <v>50</v>
      </c>
      <c r="D278" t="s">
        <v>484</v>
      </c>
      <c r="E278" t="s">
        <v>277</v>
      </c>
      <c r="F278" s="3">
        <v>10.31062</v>
      </c>
      <c r="G278" s="3">
        <v>-2.9745699999999999</v>
      </c>
      <c r="H278" s="5">
        <v>0.55900000000000005</v>
      </c>
      <c r="I278" s="5">
        <v>0.41</v>
      </c>
      <c r="J278" s="5">
        <v>-1.2589999999999999</v>
      </c>
      <c r="K278" s="5">
        <v>0.104</v>
      </c>
      <c r="L278" s="5">
        <v>-0.77800000000000002</v>
      </c>
      <c r="M278" s="5">
        <v>1.2490000000000001</v>
      </c>
      <c r="N278" s="5">
        <v>0.67900000000000005</v>
      </c>
      <c r="O278" s="5">
        <v>0.67300000000000004</v>
      </c>
      <c r="P278" s="5">
        <v>0.32700000000000001</v>
      </c>
      <c r="Q278" s="5">
        <v>0.60499999999999998</v>
      </c>
      <c r="R278" s="5">
        <v>0.27300000000000002</v>
      </c>
      <c r="S278" s="5">
        <v>0.23499999999999999</v>
      </c>
      <c r="T278" s="5">
        <v>0.38800000000000001</v>
      </c>
      <c r="U278" s="5">
        <v>0.153</v>
      </c>
      <c r="V278" s="5">
        <v>0.30299999999999999</v>
      </c>
      <c r="W278" t="s">
        <v>1312</v>
      </c>
      <c r="X278" t="s">
        <v>1313</v>
      </c>
      <c r="Y278" t="s">
        <v>1315</v>
      </c>
      <c r="Z278" t="s">
        <v>488</v>
      </c>
    </row>
    <row r="279" spans="1:26" x14ac:dyDescent="0.3">
      <c r="A279" t="s">
        <v>823</v>
      </c>
      <c r="B279" t="s">
        <v>408</v>
      </c>
      <c r="C279" t="s">
        <v>50</v>
      </c>
      <c r="D279" t="s">
        <v>490</v>
      </c>
      <c r="E279" t="s">
        <v>277</v>
      </c>
      <c r="F279" s="3">
        <v>10.31062</v>
      </c>
      <c r="G279" s="3">
        <v>-2.9745699999999999</v>
      </c>
      <c r="H279" s="5">
        <v>0.55900000000000005</v>
      </c>
      <c r="I279" s="5">
        <v>0.41</v>
      </c>
      <c r="J279" s="5">
        <v>0.68899999999999995</v>
      </c>
      <c r="K279" s="5">
        <v>1.0229999999999999</v>
      </c>
      <c r="L279" s="5">
        <v>-0.61</v>
      </c>
      <c r="M279" s="5">
        <v>1.0760000000000001</v>
      </c>
      <c r="N279" s="5">
        <v>0.77700000000000002</v>
      </c>
      <c r="O279" s="5">
        <v>0.53700000000000003</v>
      </c>
      <c r="P279" s="5">
        <v>0.53700000000000003</v>
      </c>
      <c r="Q279" s="5">
        <v>0.76</v>
      </c>
      <c r="R279" s="5">
        <v>0.33800000000000002</v>
      </c>
      <c r="S279" s="5">
        <v>0.11</v>
      </c>
      <c r="T279" s="5">
        <v>0.54</v>
      </c>
      <c r="U279" s="5">
        <v>0.17299999999999999</v>
      </c>
      <c r="V279" s="5">
        <v>0.43</v>
      </c>
      <c r="W279" t="s">
        <v>1312</v>
      </c>
      <c r="X279" t="s">
        <v>1313</v>
      </c>
      <c r="Y279" t="s">
        <v>1315</v>
      </c>
      <c r="Z279" t="s">
        <v>543</v>
      </c>
    </row>
    <row r="280" spans="1:26" x14ac:dyDescent="0.3">
      <c r="A280" t="s">
        <v>824</v>
      </c>
      <c r="B280" t="s">
        <v>410</v>
      </c>
      <c r="C280" t="s">
        <v>50</v>
      </c>
      <c r="D280" t="s">
        <v>484</v>
      </c>
      <c r="E280" t="s">
        <v>101</v>
      </c>
      <c r="F280" s="3">
        <v>10.014720000000001</v>
      </c>
      <c r="G280" s="3">
        <v>-1.6620900000000001</v>
      </c>
      <c r="H280" s="5">
        <v>0.69399999999999995</v>
      </c>
      <c r="I280" s="5">
        <v>9.2999999999999999E-2</v>
      </c>
      <c r="J280" s="5">
        <v>-1.097</v>
      </c>
      <c r="K280" s="5">
        <v>-0.67700000000000005</v>
      </c>
      <c r="L280" s="5">
        <v>-0.70399999999999996</v>
      </c>
      <c r="M280" s="5">
        <v>0.93400000000000005</v>
      </c>
      <c r="N280" s="5">
        <v>0.64600000000000002</v>
      </c>
      <c r="O280" s="5">
        <v>0.84399999999999997</v>
      </c>
      <c r="P280" s="5">
        <v>0.436</v>
      </c>
      <c r="Q280" s="5">
        <v>0.65200000000000002</v>
      </c>
      <c r="R280" s="5">
        <v>0.30199999999999999</v>
      </c>
      <c r="S280" s="5">
        <v>0.128</v>
      </c>
      <c r="T280" s="5">
        <v>0.248</v>
      </c>
      <c r="U280" s="5">
        <v>0.13800000000000001</v>
      </c>
      <c r="V280" s="5">
        <v>0.36399999999999999</v>
      </c>
      <c r="W280" t="s">
        <v>1312</v>
      </c>
      <c r="X280" t="s">
        <v>1313</v>
      </c>
      <c r="Y280" t="s">
        <v>1315</v>
      </c>
      <c r="Z280" t="s">
        <v>488</v>
      </c>
    </row>
    <row r="281" spans="1:26" x14ac:dyDescent="0.3">
      <c r="A281" t="s">
        <v>825</v>
      </c>
      <c r="B281" t="s">
        <v>410</v>
      </c>
      <c r="C281" t="s">
        <v>50</v>
      </c>
      <c r="D281" t="s">
        <v>490</v>
      </c>
      <c r="E281" t="s">
        <v>101</v>
      </c>
      <c r="F281" s="3">
        <v>10.014720000000001</v>
      </c>
      <c r="G281" s="3">
        <v>-1.6620900000000001</v>
      </c>
      <c r="H281" s="5">
        <v>0.69399999999999995</v>
      </c>
      <c r="I281" s="5">
        <v>9.2999999999999999E-2</v>
      </c>
      <c r="J281" s="5">
        <v>8.1000000000000003E-2</v>
      </c>
      <c r="K281" s="5">
        <v>0.27200000000000002</v>
      </c>
      <c r="L281" s="5">
        <v>-0.35099999999999998</v>
      </c>
      <c r="M281" s="5">
        <v>1.119</v>
      </c>
      <c r="N281" s="5">
        <v>0.71499999999999997</v>
      </c>
      <c r="O281" s="5">
        <v>0.73299999999999998</v>
      </c>
      <c r="P281" s="5">
        <v>0.60499999999999998</v>
      </c>
      <c r="Q281" s="5">
        <v>0.748</v>
      </c>
      <c r="R281" s="5">
        <v>0.32100000000000001</v>
      </c>
      <c r="S281" s="5">
        <v>0.28899999999999998</v>
      </c>
      <c r="T281" s="5">
        <v>0.40600000000000003</v>
      </c>
      <c r="U281" s="5">
        <v>0.18</v>
      </c>
      <c r="V281" s="5">
        <v>0.45200000000000001</v>
      </c>
      <c r="W281" t="s">
        <v>1312</v>
      </c>
      <c r="X281" t="s">
        <v>1313</v>
      </c>
      <c r="Y281" t="s">
        <v>1315</v>
      </c>
      <c r="Z281" t="s">
        <v>488</v>
      </c>
    </row>
    <row r="282" spans="1:26" x14ac:dyDescent="0.3">
      <c r="A282" t="s">
        <v>826</v>
      </c>
      <c r="B282" t="s">
        <v>412</v>
      </c>
      <c r="C282" t="s">
        <v>50</v>
      </c>
      <c r="D282" t="s">
        <v>484</v>
      </c>
      <c r="E282" t="s">
        <v>101</v>
      </c>
      <c r="F282" s="3">
        <v>10.24826</v>
      </c>
      <c r="G282" s="3">
        <v>-3.1051799999999998</v>
      </c>
      <c r="H282" s="5">
        <v>0.70099999999999996</v>
      </c>
      <c r="I282" s="5">
        <v>0.46899999999999997</v>
      </c>
      <c r="J282" s="5">
        <v>-0.40300000000000002</v>
      </c>
      <c r="K282" s="5">
        <v>-0.313</v>
      </c>
      <c r="L282" s="5">
        <v>-0.40300000000000002</v>
      </c>
      <c r="M282" s="5">
        <v>1.256</v>
      </c>
      <c r="N282" s="5">
        <v>0.68700000000000006</v>
      </c>
      <c r="O282" s="5">
        <v>0.67400000000000004</v>
      </c>
      <c r="P282" s="5">
        <v>0.44700000000000001</v>
      </c>
      <c r="Q282" s="5">
        <v>0.70599999999999996</v>
      </c>
      <c r="R282" s="5">
        <v>0.22600000000000001</v>
      </c>
      <c r="S282" s="5">
        <v>0.252</v>
      </c>
      <c r="T282" s="5">
        <v>0.26200000000000001</v>
      </c>
      <c r="U282" s="5">
        <v>0.17399999999999999</v>
      </c>
      <c r="V282" s="5">
        <v>0.374</v>
      </c>
      <c r="W282" t="s">
        <v>1312</v>
      </c>
      <c r="X282" t="s">
        <v>1313</v>
      </c>
      <c r="Y282" t="s">
        <v>1315</v>
      </c>
      <c r="Z282" t="s">
        <v>488</v>
      </c>
    </row>
    <row r="283" spans="1:26" x14ac:dyDescent="0.3">
      <c r="A283" t="s">
        <v>827</v>
      </c>
      <c r="B283" t="s">
        <v>412</v>
      </c>
      <c r="C283" t="s">
        <v>50</v>
      </c>
      <c r="D283" t="s">
        <v>490</v>
      </c>
      <c r="E283" t="s">
        <v>101</v>
      </c>
      <c r="F283" s="3">
        <v>10.24826</v>
      </c>
      <c r="G283" s="3">
        <v>-3.1051799999999998</v>
      </c>
      <c r="H283" s="5">
        <v>0.70099999999999996</v>
      </c>
      <c r="I283" s="5">
        <v>0.46899999999999997</v>
      </c>
      <c r="J283" s="5">
        <v>0.11600000000000001</v>
      </c>
      <c r="K283" s="5">
        <v>-0.79700000000000004</v>
      </c>
      <c r="L283" s="5">
        <v>-0.188</v>
      </c>
      <c r="M283" s="5">
        <v>0.86099999999999999</v>
      </c>
      <c r="N283" s="5">
        <v>0.63600000000000001</v>
      </c>
      <c r="O283" s="5">
        <v>1.028</v>
      </c>
      <c r="P283" s="5">
        <v>0.66900000000000004</v>
      </c>
      <c r="Q283" s="5">
        <v>0.746</v>
      </c>
      <c r="R283" s="5">
        <v>0.29599999999999999</v>
      </c>
      <c r="S283" s="5">
        <v>0.219</v>
      </c>
      <c r="T283" s="5">
        <v>0.182</v>
      </c>
      <c r="U283" s="5">
        <v>0.19900000000000001</v>
      </c>
      <c r="V283" s="5">
        <v>0.505</v>
      </c>
      <c r="W283" t="s">
        <v>1312</v>
      </c>
      <c r="X283" t="s">
        <v>1313</v>
      </c>
      <c r="Y283" t="s">
        <v>1314</v>
      </c>
      <c r="Z283" t="s">
        <v>488</v>
      </c>
    </row>
    <row r="284" spans="1:26" x14ac:dyDescent="0.3">
      <c r="A284" t="s">
        <v>828</v>
      </c>
      <c r="B284" t="s">
        <v>414</v>
      </c>
      <c r="C284" t="s">
        <v>50</v>
      </c>
      <c r="D284" t="s">
        <v>484</v>
      </c>
      <c r="E284" t="s">
        <v>75</v>
      </c>
      <c r="F284" s="3">
        <v>9.9014399999999991</v>
      </c>
      <c r="G284" s="3">
        <v>-1.61843</v>
      </c>
      <c r="H284" s="5">
        <v>0.60599999999999998</v>
      </c>
      <c r="I284" s="5">
        <v>0.20300000000000001</v>
      </c>
      <c r="J284" s="5">
        <v>2.4E-2</v>
      </c>
      <c r="K284" s="5">
        <v>0.92</v>
      </c>
      <c r="L284" s="5">
        <v>-0.84</v>
      </c>
      <c r="M284" s="5">
        <v>1.345</v>
      </c>
      <c r="N284" s="5">
        <v>0.73899999999999999</v>
      </c>
      <c r="O284" s="5">
        <v>0.59799999999999998</v>
      </c>
      <c r="P284" s="5">
        <v>0.41199999999999998</v>
      </c>
      <c r="Q284" s="5">
        <v>0.36299999999999999</v>
      </c>
      <c r="R284" s="5">
        <v>0.61099999999999999</v>
      </c>
      <c r="S284" s="5">
        <v>0.32500000000000001</v>
      </c>
      <c r="T284" s="5">
        <v>0.54300000000000004</v>
      </c>
      <c r="U284" s="5">
        <v>9.9000000000000005E-2</v>
      </c>
      <c r="V284" s="5">
        <v>0.36899999999999999</v>
      </c>
      <c r="W284" t="s">
        <v>1316</v>
      </c>
      <c r="X284" t="s">
        <v>1317</v>
      </c>
      <c r="Y284" t="s">
        <v>1315</v>
      </c>
      <c r="Z284" t="s">
        <v>488</v>
      </c>
    </row>
    <row r="285" spans="1:26" x14ac:dyDescent="0.3">
      <c r="A285" t="s">
        <v>829</v>
      </c>
      <c r="B285" t="s">
        <v>414</v>
      </c>
      <c r="C285" t="s">
        <v>50</v>
      </c>
      <c r="D285" t="s">
        <v>490</v>
      </c>
      <c r="E285" t="s">
        <v>75</v>
      </c>
      <c r="F285" s="3">
        <v>9.9014399999999991</v>
      </c>
      <c r="G285" s="3">
        <v>-1.61843</v>
      </c>
      <c r="H285" s="5">
        <v>0.60599999999999998</v>
      </c>
      <c r="I285" s="5">
        <v>0.20300000000000001</v>
      </c>
      <c r="J285" s="5">
        <v>0.77500000000000002</v>
      </c>
      <c r="K285" s="5">
        <v>0.29399999999999998</v>
      </c>
      <c r="L285" s="5">
        <v>-0.34200000000000003</v>
      </c>
      <c r="M285" s="5">
        <v>1.2989999999999999</v>
      </c>
      <c r="N285" s="5">
        <v>0.751</v>
      </c>
      <c r="O285" s="5">
        <v>0.67900000000000005</v>
      </c>
      <c r="P285" s="5">
        <v>0.59299999999999997</v>
      </c>
      <c r="Q285" s="5">
        <v>0.498</v>
      </c>
      <c r="R285" s="5">
        <v>0.56799999999999995</v>
      </c>
      <c r="S285" s="5">
        <v>0.35799999999999998</v>
      </c>
      <c r="T285" s="5">
        <v>0.438</v>
      </c>
      <c r="U285" s="5">
        <v>0.158</v>
      </c>
      <c r="V285" s="5">
        <v>0.46700000000000003</v>
      </c>
      <c r="W285" t="s">
        <v>1318</v>
      </c>
      <c r="X285" t="s">
        <v>1319</v>
      </c>
      <c r="Y285" t="s">
        <v>1315</v>
      </c>
      <c r="Z285" t="s">
        <v>488</v>
      </c>
    </row>
    <row r="286" spans="1:26" x14ac:dyDescent="0.3">
      <c r="A286" t="s">
        <v>830</v>
      </c>
      <c r="B286" t="s">
        <v>416</v>
      </c>
      <c r="C286" t="s">
        <v>50</v>
      </c>
      <c r="D286" t="s">
        <v>484</v>
      </c>
      <c r="E286" t="s">
        <v>101</v>
      </c>
      <c r="F286" s="3">
        <v>11.057370000000001</v>
      </c>
      <c r="G286" s="3">
        <v>-1.66015</v>
      </c>
      <c r="H286" s="5">
        <v>0.77100000000000002</v>
      </c>
      <c r="I286" s="5">
        <v>0.34100000000000003</v>
      </c>
      <c r="J286" s="5">
        <v>-0.60499999999999998</v>
      </c>
      <c r="K286" s="5">
        <v>1E-3</v>
      </c>
      <c r="L286" s="5">
        <v>-0.67</v>
      </c>
      <c r="M286" s="5">
        <v>1.0569999999999999</v>
      </c>
      <c r="N286" s="5">
        <v>0.64700000000000002</v>
      </c>
      <c r="O286" s="5">
        <v>0.86099999999999999</v>
      </c>
      <c r="P286" s="5">
        <v>0.50600000000000001</v>
      </c>
      <c r="Q286" s="5">
        <v>0.71599999999999997</v>
      </c>
      <c r="R286" s="5">
        <v>0.33700000000000002</v>
      </c>
      <c r="S286" s="5">
        <v>0.28999999999999998</v>
      </c>
      <c r="T286" s="5">
        <v>0.33900000000000002</v>
      </c>
      <c r="U286" s="5">
        <v>0.17199999999999999</v>
      </c>
      <c r="V286" s="5">
        <v>0.40699999999999997</v>
      </c>
      <c r="W286" t="s">
        <v>1312</v>
      </c>
      <c r="X286" t="s">
        <v>1313</v>
      </c>
      <c r="Y286" t="s">
        <v>1315</v>
      </c>
      <c r="Z286" t="s">
        <v>488</v>
      </c>
    </row>
    <row r="287" spans="1:26" x14ac:dyDescent="0.3">
      <c r="A287" t="s">
        <v>831</v>
      </c>
      <c r="B287" t="s">
        <v>416</v>
      </c>
      <c r="C287" t="s">
        <v>50</v>
      </c>
      <c r="D287" t="s">
        <v>490</v>
      </c>
      <c r="E287" t="s">
        <v>101</v>
      </c>
      <c r="F287" s="3">
        <v>11.057370000000001</v>
      </c>
      <c r="G287" s="3">
        <v>-1.66015</v>
      </c>
      <c r="H287" s="5">
        <v>0.77100000000000002</v>
      </c>
      <c r="I287" s="5">
        <v>0.34100000000000003</v>
      </c>
      <c r="J287" s="5">
        <v>1.44</v>
      </c>
      <c r="K287" s="5">
        <v>0.127</v>
      </c>
      <c r="L287" s="5">
        <v>0.60599999999999998</v>
      </c>
      <c r="M287" s="5">
        <v>0.96299999999999997</v>
      </c>
      <c r="N287" s="5">
        <v>0.71699999999999997</v>
      </c>
      <c r="O287" s="5">
        <v>0.78700000000000003</v>
      </c>
      <c r="P287" s="5">
        <v>0.73399999999999999</v>
      </c>
      <c r="Q287" s="5">
        <v>0.73199999999999998</v>
      </c>
      <c r="R287" s="5">
        <v>0.308</v>
      </c>
      <c r="S287" s="5">
        <v>0.13600000000000001</v>
      </c>
      <c r="T287" s="5">
        <v>0.36</v>
      </c>
      <c r="U287" s="5">
        <v>0.32300000000000001</v>
      </c>
      <c r="V287" s="5">
        <v>0.55000000000000004</v>
      </c>
      <c r="W287" t="s">
        <v>1318</v>
      </c>
      <c r="X287" t="s">
        <v>1319</v>
      </c>
      <c r="Y287" t="s">
        <v>1314</v>
      </c>
      <c r="Z287" t="s">
        <v>488</v>
      </c>
    </row>
    <row r="288" spans="1:26" x14ac:dyDescent="0.3">
      <c r="A288" t="s">
        <v>832</v>
      </c>
      <c r="B288" t="s">
        <v>418</v>
      </c>
      <c r="C288" t="s">
        <v>50</v>
      </c>
      <c r="D288" t="s">
        <v>484</v>
      </c>
      <c r="E288" t="s">
        <v>277</v>
      </c>
      <c r="F288" s="3">
        <v>10.56528</v>
      </c>
      <c r="G288" s="3">
        <v>-1.5920099999999999</v>
      </c>
      <c r="H288" s="5">
        <v>0.753</v>
      </c>
      <c r="I288" s="5">
        <v>0.39600000000000002</v>
      </c>
      <c r="J288" s="5">
        <v>-1.4690000000000001</v>
      </c>
      <c r="K288" s="5">
        <v>-0.34699999999999998</v>
      </c>
      <c r="L288" s="5">
        <v>-4.5999999999999999E-2</v>
      </c>
      <c r="M288" s="5">
        <v>1.099</v>
      </c>
      <c r="N288" s="5">
        <v>0.64500000000000002</v>
      </c>
      <c r="O288" s="5">
        <v>0.76600000000000001</v>
      </c>
      <c r="P288" s="5">
        <v>0.42699999999999999</v>
      </c>
      <c r="Q288" s="5">
        <v>0.58199999999999996</v>
      </c>
      <c r="R288" s="5">
        <v>0.33200000000000002</v>
      </c>
      <c r="S288" s="5">
        <v>0.314</v>
      </c>
      <c r="T288" s="5">
        <v>0.28499999999999998</v>
      </c>
      <c r="U288" s="5">
        <v>0.309</v>
      </c>
      <c r="V288" s="5">
        <v>0.34</v>
      </c>
      <c r="W288" t="s">
        <v>1312</v>
      </c>
      <c r="X288" t="s">
        <v>1313</v>
      </c>
      <c r="Y288" t="s">
        <v>1315</v>
      </c>
      <c r="Z288" t="s">
        <v>488</v>
      </c>
    </row>
    <row r="289" spans="1:26" x14ac:dyDescent="0.3">
      <c r="A289" t="s">
        <v>833</v>
      </c>
      <c r="B289" t="s">
        <v>418</v>
      </c>
      <c r="C289" t="s">
        <v>50</v>
      </c>
      <c r="D289" t="s">
        <v>490</v>
      </c>
      <c r="E289" t="s">
        <v>277</v>
      </c>
      <c r="F289" s="3">
        <v>10.56528</v>
      </c>
      <c r="G289" s="3">
        <v>-1.5920099999999999</v>
      </c>
      <c r="H289" s="5">
        <v>0.753</v>
      </c>
      <c r="I289" s="5">
        <v>0.39600000000000002</v>
      </c>
      <c r="J289" s="5">
        <v>1.9E-2</v>
      </c>
      <c r="K289" s="5">
        <v>-0.154</v>
      </c>
      <c r="L289" s="5">
        <v>0.33900000000000002</v>
      </c>
      <c r="M289" s="5">
        <v>0.92500000000000004</v>
      </c>
      <c r="N289" s="5">
        <v>0.71</v>
      </c>
      <c r="O289" s="5">
        <v>0.68600000000000005</v>
      </c>
      <c r="P289" s="5">
        <v>0.62</v>
      </c>
      <c r="Q289" s="5">
        <v>0.76600000000000001</v>
      </c>
      <c r="R289" s="5">
        <v>0.28199999999999997</v>
      </c>
      <c r="S289" s="5">
        <v>0.14299999999999999</v>
      </c>
      <c r="T289" s="5">
        <v>0.317</v>
      </c>
      <c r="U289" s="5">
        <v>0.35499999999999998</v>
      </c>
      <c r="V289" s="5">
        <v>0.45</v>
      </c>
      <c r="W289" t="s">
        <v>1312</v>
      </c>
      <c r="X289" t="s">
        <v>1313</v>
      </c>
      <c r="Y289" t="s">
        <v>1315</v>
      </c>
      <c r="Z289" t="s">
        <v>488</v>
      </c>
    </row>
    <row r="290" spans="1:26" x14ac:dyDescent="0.3">
      <c r="A290" t="s">
        <v>834</v>
      </c>
      <c r="B290" t="s">
        <v>420</v>
      </c>
      <c r="C290" t="s">
        <v>50</v>
      </c>
      <c r="D290" t="s">
        <v>484</v>
      </c>
      <c r="E290" t="s">
        <v>75</v>
      </c>
      <c r="F290" s="3">
        <v>10.511710000000001</v>
      </c>
      <c r="G290" s="3">
        <v>-2.7826499999999998</v>
      </c>
      <c r="H290" s="5">
        <v>0.77300000000000002</v>
      </c>
      <c r="I290" s="5">
        <v>0.33800000000000002</v>
      </c>
      <c r="J290" s="5">
        <v>-0.40899999999999997</v>
      </c>
      <c r="K290" s="5">
        <v>-0.27500000000000002</v>
      </c>
      <c r="L290" s="5">
        <v>-1.25</v>
      </c>
      <c r="M290" s="5">
        <v>1.4850000000000001</v>
      </c>
      <c r="N290" s="5">
        <v>0.78700000000000003</v>
      </c>
      <c r="O290" s="5">
        <v>0.66900000000000004</v>
      </c>
      <c r="P290" s="5">
        <v>0.48099999999999998</v>
      </c>
      <c r="Q290" s="5">
        <v>0.38500000000000001</v>
      </c>
      <c r="R290" s="5">
        <v>0.57699999999999996</v>
      </c>
      <c r="S290" s="5">
        <v>0.35899999999999999</v>
      </c>
      <c r="T290" s="5">
        <v>0.29599999999999999</v>
      </c>
      <c r="U290" s="5">
        <v>1.2999999999999999E-2</v>
      </c>
      <c r="V290" s="5">
        <v>0.38500000000000001</v>
      </c>
      <c r="W290" t="s">
        <v>1312</v>
      </c>
      <c r="X290" t="s">
        <v>1313</v>
      </c>
      <c r="Y290" t="s">
        <v>1315</v>
      </c>
      <c r="Z290" t="s">
        <v>488</v>
      </c>
    </row>
    <row r="291" spans="1:26" x14ac:dyDescent="0.3">
      <c r="A291" t="s">
        <v>835</v>
      </c>
      <c r="B291" t="s">
        <v>420</v>
      </c>
      <c r="C291" t="s">
        <v>50</v>
      </c>
      <c r="D291" t="s">
        <v>490</v>
      </c>
      <c r="E291" t="s">
        <v>75</v>
      </c>
      <c r="F291" s="3">
        <v>10.511710000000001</v>
      </c>
      <c r="G291" s="3">
        <v>-2.7826499999999998</v>
      </c>
      <c r="H291" s="5">
        <v>0.77300000000000002</v>
      </c>
      <c r="I291" s="5">
        <v>0.33800000000000002</v>
      </c>
      <c r="J291" s="5">
        <v>0.66100000000000003</v>
      </c>
      <c r="K291" s="5">
        <v>-0.16300000000000001</v>
      </c>
      <c r="L291" s="5">
        <v>-1.1299999999999999</v>
      </c>
      <c r="M291" s="5">
        <v>1.2689999999999999</v>
      </c>
      <c r="N291" s="5">
        <v>0.82199999999999995</v>
      </c>
      <c r="O291" s="5">
        <v>0.69099999999999995</v>
      </c>
      <c r="P291" s="5">
        <v>0.66900000000000004</v>
      </c>
      <c r="Q291" s="5">
        <v>0.46200000000000002</v>
      </c>
      <c r="R291" s="5">
        <v>0.629</v>
      </c>
      <c r="S291" s="5">
        <v>0.371</v>
      </c>
      <c r="T291" s="5">
        <v>0.315</v>
      </c>
      <c r="U291" s="5">
        <v>2.8000000000000001E-2</v>
      </c>
      <c r="V291" s="5">
        <v>0.49</v>
      </c>
      <c r="W291" t="s">
        <v>1318</v>
      </c>
      <c r="X291" t="s">
        <v>1319</v>
      </c>
      <c r="Y291" t="s">
        <v>1314</v>
      </c>
      <c r="Z291" t="s">
        <v>488</v>
      </c>
    </row>
    <row r="292" spans="1:26" x14ac:dyDescent="0.3">
      <c r="A292" t="s">
        <v>836</v>
      </c>
      <c r="B292" t="s">
        <v>422</v>
      </c>
      <c r="C292" t="s">
        <v>50</v>
      </c>
      <c r="D292" t="s">
        <v>484</v>
      </c>
      <c r="E292" t="s">
        <v>101</v>
      </c>
      <c r="F292" s="3">
        <v>10.039870000000001</v>
      </c>
      <c r="G292" s="3">
        <v>-1.60022</v>
      </c>
      <c r="H292" s="5">
        <v>0.65</v>
      </c>
      <c r="I292" s="5">
        <v>0.30599999999999999</v>
      </c>
      <c r="J292" s="5">
        <v>-0.61099999999999999</v>
      </c>
      <c r="K292" s="5">
        <v>0.72899999999999998</v>
      </c>
      <c r="L292" s="5">
        <v>-1.0269999999999999</v>
      </c>
      <c r="M292" s="5">
        <v>1.585</v>
      </c>
      <c r="N292" s="5">
        <v>0.82399999999999995</v>
      </c>
      <c r="O292" s="5">
        <v>0.65500000000000003</v>
      </c>
      <c r="P292" s="5">
        <v>0.40600000000000003</v>
      </c>
      <c r="Q292" s="5">
        <v>0.70199999999999996</v>
      </c>
      <c r="R292" s="5">
        <v>0.34599999999999997</v>
      </c>
      <c r="S292" s="5">
        <v>0.33600000000000002</v>
      </c>
      <c r="T292" s="5">
        <v>0.499</v>
      </c>
      <c r="U292" s="5">
        <v>0.126</v>
      </c>
      <c r="V292" s="5">
        <v>0.35099999999999998</v>
      </c>
      <c r="W292" t="s">
        <v>1312</v>
      </c>
      <c r="X292" t="s">
        <v>1313</v>
      </c>
      <c r="Y292" t="s">
        <v>1315</v>
      </c>
      <c r="Z292" t="s">
        <v>488</v>
      </c>
    </row>
    <row r="293" spans="1:26" x14ac:dyDescent="0.3">
      <c r="A293" t="s">
        <v>837</v>
      </c>
      <c r="B293" t="s">
        <v>422</v>
      </c>
      <c r="C293" t="s">
        <v>50</v>
      </c>
      <c r="D293" t="s">
        <v>490</v>
      </c>
      <c r="E293" t="s">
        <v>101</v>
      </c>
      <c r="F293" s="3">
        <v>10.039870000000001</v>
      </c>
      <c r="G293" s="3">
        <v>-1.60022</v>
      </c>
      <c r="H293" s="5">
        <v>0.65</v>
      </c>
      <c r="I293" s="5">
        <v>0.30599999999999999</v>
      </c>
      <c r="J293" s="5">
        <v>0.75800000000000001</v>
      </c>
      <c r="K293" s="5">
        <v>0.375</v>
      </c>
      <c r="L293" s="5">
        <v>7.0000000000000007E-2</v>
      </c>
      <c r="M293" s="5">
        <v>1.2050000000000001</v>
      </c>
      <c r="N293" s="5">
        <v>0.79900000000000004</v>
      </c>
      <c r="O293" s="5">
        <v>0.68600000000000005</v>
      </c>
      <c r="P293" s="5">
        <v>0.61499999999999999</v>
      </c>
      <c r="Q293" s="5">
        <v>0.749</v>
      </c>
      <c r="R293" s="5">
        <v>0.28699999999999998</v>
      </c>
      <c r="S293" s="5">
        <v>0.38200000000000001</v>
      </c>
      <c r="T293" s="5">
        <v>0.44</v>
      </c>
      <c r="U293" s="5">
        <v>0.255</v>
      </c>
      <c r="V293" s="5">
        <v>0.47399999999999998</v>
      </c>
      <c r="W293" t="s">
        <v>1312</v>
      </c>
      <c r="X293" t="s">
        <v>1313</v>
      </c>
      <c r="Y293" t="s">
        <v>1314</v>
      </c>
      <c r="Z293" t="s">
        <v>488</v>
      </c>
    </row>
    <row r="294" spans="1:26" x14ac:dyDescent="0.3">
      <c r="A294" t="s">
        <v>838</v>
      </c>
      <c r="B294" t="s">
        <v>424</v>
      </c>
      <c r="C294" t="s">
        <v>50</v>
      </c>
      <c r="D294" t="s">
        <v>484</v>
      </c>
      <c r="E294" t="s">
        <v>75</v>
      </c>
      <c r="F294" s="3">
        <v>11.0237</v>
      </c>
      <c r="G294" s="3">
        <v>-2.57104</v>
      </c>
      <c r="H294" s="5">
        <v>0.623</v>
      </c>
      <c r="I294" s="5">
        <v>0.05</v>
      </c>
      <c r="J294" s="5">
        <v>-1.008</v>
      </c>
      <c r="K294" s="5">
        <v>-0.86899999999999999</v>
      </c>
      <c r="L294" s="5">
        <v>-0.42899999999999999</v>
      </c>
      <c r="M294" s="5">
        <v>1.5620000000000001</v>
      </c>
      <c r="N294" s="5">
        <v>0.88300000000000001</v>
      </c>
      <c r="O294" s="5">
        <v>0.56999999999999995</v>
      </c>
      <c r="P294" s="5">
        <v>0.35199999999999998</v>
      </c>
      <c r="Q294" s="5">
        <v>0.40699999999999997</v>
      </c>
      <c r="R294" s="5">
        <v>0.51800000000000002</v>
      </c>
      <c r="S294" s="5">
        <v>0.32900000000000001</v>
      </c>
      <c r="T294" s="5">
        <v>0.20699999999999999</v>
      </c>
      <c r="U294" s="5">
        <v>0.14399999999999999</v>
      </c>
      <c r="V294" s="5">
        <v>0.31</v>
      </c>
      <c r="W294" t="s">
        <v>1312</v>
      </c>
      <c r="X294" t="s">
        <v>1313</v>
      </c>
      <c r="Y294" t="s">
        <v>1314</v>
      </c>
      <c r="Z294" t="s">
        <v>488</v>
      </c>
    </row>
    <row r="295" spans="1:26" x14ac:dyDescent="0.3">
      <c r="A295" t="s">
        <v>839</v>
      </c>
      <c r="B295" t="s">
        <v>424</v>
      </c>
      <c r="C295" t="s">
        <v>50</v>
      </c>
      <c r="D295" t="s">
        <v>490</v>
      </c>
      <c r="E295" t="s">
        <v>75</v>
      </c>
      <c r="F295" s="3">
        <v>11.0237</v>
      </c>
      <c r="G295" s="3">
        <v>-2.57104</v>
      </c>
      <c r="H295" s="5">
        <v>0.623</v>
      </c>
      <c r="I295" s="5">
        <v>0.05</v>
      </c>
      <c r="J295" s="5">
        <v>1.0169999999999999</v>
      </c>
      <c r="K295" s="5">
        <v>4.2999999999999997E-2</v>
      </c>
      <c r="L295" s="5">
        <v>-2.1000000000000001E-2</v>
      </c>
      <c r="M295" s="5">
        <v>1.0069999999999999</v>
      </c>
      <c r="N295" s="5">
        <v>0.77100000000000002</v>
      </c>
      <c r="O295" s="5">
        <v>0.64400000000000002</v>
      </c>
      <c r="P295" s="5">
        <v>0.60899999999999999</v>
      </c>
      <c r="Q295" s="5">
        <v>0.47199999999999998</v>
      </c>
      <c r="R295" s="5">
        <v>0.61</v>
      </c>
      <c r="S295" s="5">
        <v>0.13800000000000001</v>
      </c>
      <c r="T295" s="5">
        <v>0.35899999999999999</v>
      </c>
      <c r="U295" s="5">
        <v>0.193</v>
      </c>
      <c r="V295" s="5">
        <v>0.47699999999999998</v>
      </c>
      <c r="W295" t="s">
        <v>1318</v>
      </c>
      <c r="X295" t="s">
        <v>1319</v>
      </c>
      <c r="Y295" t="s">
        <v>1315</v>
      </c>
      <c r="Z295" t="s">
        <v>488</v>
      </c>
    </row>
    <row r="296" spans="1:26" x14ac:dyDescent="0.3">
      <c r="A296" t="s">
        <v>840</v>
      </c>
      <c r="B296" t="s">
        <v>426</v>
      </c>
      <c r="C296" t="s">
        <v>50</v>
      </c>
      <c r="D296" t="s">
        <v>484</v>
      </c>
      <c r="E296" t="s">
        <v>277</v>
      </c>
      <c r="F296" s="3">
        <v>10.931950000000001</v>
      </c>
      <c r="G296" s="3">
        <v>-1.45285</v>
      </c>
      <c r="H296" s="5">
        <v>0.65300000000000002</v>
      </c>
      <c r="I296" s="5">
        <v>0.48099999999999998</v>
      </c>
      <c r="J296" s="5">
        <v>-0.98199999999999998</v>
      </c>
      <c r="K296" s="5">
        <v>1.069</v>
      </c>
      <c r="L296" s="5">
        <v>-0.20100000000000001</v>
      </c>
      <c r="M296" s="5">
        <v>1.345</v>
      </c>
      <c r="N296" s="5">
        <v>0.70299999999999996</v>
      </c>
      <c r="O296" s="5">
        <v>0.627</v>
      </c>
      <c r="P296" s="5">
        <v>0.38</v>
      </c>
      <c r="Q296" s="5">
        <v>0.59899999999999998</v>
      </c>
      <c r="R296" s="5">
        <v>0.33800000000000002</v>
      </c>
      <c r="S296" s="5">
        <v>0.27900000000000003</v>
      </c>
      <c r="T296" s="5">
        <v>0.55600000000000005</v>
      </c>
      <c r="U296" s="5">
        <v>0.25700000000000001</v>
      </c>
      <c r="V296" s="5">
        <v>0.32600000000000001</v>
      </c>
      <c r="W296" t="s">
        <v>1316</v>
      </c>
      <c r="X296" t="s">
        <v>1317</v>
      </c>
      <c r="Y296" t="s">
        <v>1315</v>
      </c>
      <c r="Z296" t="s">
        <v>488</v>
      </c>
    </row>
    <row r="297" spans="1:26" x14ac:dyDescent="0.3">
      <c r="A297" t="s">
        <v>841</v>
      </c>
      <c r="B297" t="s">
        <v>426</v>
      </c>
      <c r="C297" t="s">
        <v>50</v>
      </c>
      <c r="D297" t="s">
        <v>490</v>
      </c>
      <c r="E297" t="s">
        <v>277</v>
      </c>
      <c r="F297" s="3">
        <v>10.931950000000001</v>
      </c>
      <c r="G297" s="3">
        <v>-1.45285</v>
      </c>
      <c r="H297" s="5">
        <v>0.65300000000000002</v>
      </c>
      <c r="I297" s="5">
        <v>0.48099999999999998</v>
      </c>
      <c r="J297" s="5">
        <v>-4.5999999999999999E-2</v>
      </c>
      <c r="K297" s="5">
        <v>0.81899999999999995</v>
      </c>
      <c r="L297" s="5">
        <v>4.8000000000000001E-2</v>
      </c>
      <c r="M297" s="5">
        <v>1.0229999999999999</v>
      </c>
      <c r="N297" s="5">
        <v>0.69399999999999995</v>
      </c>
      <c r="O297" s="5">
        <v>0.72299999999999998</v>
      </c>
      <c r="P297" s="5">
        <v>0.57499999999999996</v>
      </c>
      <c r="Q297" s="5">
        <v>0.75</v>
      </c>
      <c r="R297" s="5">
        <v>0.34200000000000003</v>
      </c>
      <c r="S297" s="5">
        <v>0.27</v>
      </c>
      <c r="T297" s="5">
        <v>0.51400000000000001</v>
      </c>
      <c r="U297" s="5">
        <v>0.28699999999999998</v>
      </c>
      <c r="V297" s="5">
        <v>0.436</v>
      </c>
      <c r="W297" t="s">
        <v>1312</v>
      </c>
      <c r="X297" t="s">
        <v>1313</v>
      </c>
      <c r="Y297" t="s">
        <v>1314</v>
      </c>
      <c r="Z297" t="s">
        <v>488</v>
      </c>
    </row>
    <row r="298" spans="1:26" x14ac:dyDescent="0.3">
      <c r="A298" t="s">
        <v>842</v>
      </c>
      <c r="B298" t="s">
        <v>428</v>
      </c>
      <c r="C298" t="s">
        <v>50</v>
      </c>
      <c r="D298" t="s">
        <v>484</v>
      </c>
      <c r="E298" t="s">
        <v>101</v>
      </c>
      <c r="F298" s="3">
        <v>10.818619999999999</v>
      </c>
      <c r="G298" s="3">
        <v>-1.9565999999999999</v>
      </c>
      <c r="H298" s="5">
        <v>0.63800000000000001</v>
      </c>
      <c r="I298" s="5">
        <v>0.307</v>
      </c>
      <c r="J298" s="5">
        <v>-0.89600000000000002</v>
      </c>
      <c r="K298" s="5">
        <v>-0.193</v>
      </c>
      <c r="L298" s="5">
        <v>0.105</v>
      </c>
      <c r="M298" s="5">
        <v>1.0509999999999999</v>
      </c>
      <c r="N298" s="5">
        <v>0.80700000000000005</v>
      </c>
      <c r="O298" s="5">
        <v>0.624</v>
      </c>
      <c r="P298" s="5">
        <v>0.377</v>
      </c>
      <c r="Q298" s="5">
        <v>0.72099999999999997</v>
      </c>
      <c r="R298" s="5">
        <v>0.35499999999999998</v>
      </c>
      <c r="S298" s="5">
        <v>0.21199999999999999</v>
      </c>
      <c r="T298" s="5">
        <v>0.32600000000000001</v>
      </c>
      <c r="U298" s="5">
        <v>0.29599999999999999</v>
      </c>
      <c r="V298" s="5">
        <v>0.32800000000000001</v>
      </c>
      <c r="W298" t="s">
        <v>1312</v>
      </c>
      <c r="X298" t="s">
        <v>1313</v>
      </c>
      <c r="Y298" t="s">
        <v>1315</v>
      </c>
      <c r="Z298" t="s">
        <v>488</v>
      </c>
    </row>
    <row r="299" spans="1:26" x14ac:dyDescent="0.3">
      <c r="A299" t="s">
        <v>843</v>
      </c>
      <c r="B299" t="s">
        <v>428</v>
      </c>
      <c r="C299" t="s">
        <v>50</v>
      </c>
      <c r="D299" t="s">
        <v>490</v>
      </c>
      <c r="E299" t="s">
        <v>101</v>
      </c>
      <c r="F299" s="3">
        <v>10.818619999999999</v>
      </c>
      <c r="G299" s="3">
        <v>-1.9565999999999999</v>
      </c>
      <c r="H299" s="5">
        <v>0.63800000000000001</v>
      </c>
      <c r="I299" s="5">
        <v>0.307</v>
      </c>
      <c r="J299" s="5">
        <v>0.40799999999999997</v>
      </c>
      <c r="K299" s="5">
        <v>-1.7999999999999999E-2</v>
      </c>
      <c r="L299" s="5">
        <v>-6.0000000000000001E-3</v>
      </c>
      <c r="M299" s="5">
        <v>0.91300000000000003</v>
      </c>
      <c r="N299" s="5">
        <v>0.72799999999999998</v>
      </c>
      <c r="O299" s="5">
        <v>0.83399999999999996</v>
      </c>
      <c r="P299" s="5">
        <v>0.61699999999999999</v>
      </c>
      <c r="Q299" s="5">
        <v>0.78300000000000003</v>
      </c>
      <c r="R299" s="5">
        <v>0.23</v>
      </c>
      <c r="S299" s="5">
        <v>0.27200000000000002</v>
      </c>
      <c r="T299" s="5">
        <v>0.35499999999999998</v>
      </c>
      <c r="U299" s="5">
        <v>0.28199999999999997</v>
      </c>
      <c r="V299" s="5">
        <v>0.47799999999999998</v>
      </c>
      <c r="W299" t="s">
        <v>1312</v>
      </c>
      <c r="X299" t="s">
        <v>1313</v>
      </c>
      <c r="Y299" t="s">
        <v>1315</v>
      </c>
      <c r="Z299" t="s">
        <v>488</v>
      </c>
    </row>
    <row r="300" spans="1:26" x14ac:dyDescent="0.3">
      <c r="A300" t="s">
        <v>844</v>
      </c>
      <c r="B300" t="s">
        <v>430</v>
      </c>
      <c r="C300" t="s">
        <v>50</v>
      </c>
      <c r="D300" t="s">
        <v>484</v>
      </c>
      <c r="E300" t="s">
        <v>142</v>
      </c>
      <c r="F300" s="3">
        <v>10.06381</v>
      </c>
      <c r="G300" s="3">
        <v>-2.72363</v>
      </c>
      <c r="H300" s="5">
        <v>0.65700000000000003</v>
      </c>
      <c r="I300" s="5">
        <v>0.49</v>
      </c>
      <c r="J300" s="5">
        <v>-1.6819999999999999</v>
      </c>
      <c r="K300" s="5">
        <v>-0.52</v>
      </c>
      <c r="L300" s="5">
        <v>-0.69699999999999995</v>
      </c>
      <c r="M300" s="5">
        <v>1.02</v>
      </c>
      <c r="N300" s="5">
        <v>0.76200000000000001</v>
      </c>
      <c r="O300" s="5">
        <v>0.59699999999999998</v>
      </c>
      <c r="P300" s="5">
        <v>0.33400000000000002</v>
      </c>
      <c r="Q300" s="5">
        <v>0.39600000000000002</v>
      </c>
      <c r="R300" s="5">
        <v>0.28699999999999998</v>
      </c>
      <c r="S300" s="5">
        <v>0.19</v>
      </c>
      <c r="T300" s="5">
        <v>0.23100000000000001</v>
      </c>
      <c r="U300" s="5">
        <v>0.114</v>
      </c>
      <c r="V300" s="5">
        <v>0.28299999999999997</v>
      </c>
      <c r="W300" t="s">
        <v>1312</v>
      </c>
      <c r="X300" t="s">
        <v>1313</v>
      </c>
      <c r="Y300" t="s">
        <v>1315</v>
      </c>
      <c r="Z300" t="s">
        <v>488</v>
      </c>
    </row>
    <row r="301" spans="1:26" x14ac:dyDescent="0.3">
      <c r="A301" t="s">
        <v>845</v>
      </c>
      <c r="B301" t="s">
        <v>430</v>
      </c>
      <c r="C301" t="s">
        <v>50</v>
      </c>
      <c r="D301" t="s">
        <v>490</v>
      </c>
      <c r="E301" t="s">
        <v>142</v>
      </c>
      <c r="F301" s="3">
        <v>10.06381</v>
      </c>
      <c r="G301" s="3">
        <v>-2.72363</v>
      </c>
      <c r="H301" s="5">
        <v>0.65700000000000003</v>
      </c>
      <c r="I301" s="5">
        <v>0.49</v>
      </c>
      <c r="J301" s="5">
        <v>0.64400000000000002</v>
      </c>
      <c r="K301" s="5">
        <v>-0.28699999999999998</v>
      </c>
      <c r="L301" s="5">
        <v>-0.93899999999999995</v>
      </c>
      <c r="M301" s="5">
        <v>1.133</v>
      </c>
      <c r="N301" s="5">
        <v>0.84</v>
      </c>
      <c r="O301" s="5">
        <v>0.71699999999999997</v>
      </c>
      <c r="P301" s="5">
        <v>0.61699999999999999</v>
      </c>
      <c r="Q301" s="5">
        <v>0.38300000000000001</v>
      </c>
      <c r="R301" s="5">
        <v>0.32800000000000001</v>
      </c>
      <c r="S301" s="5">
        <v>0.3</v>
      </c>
      <c r="T301" s="5">
        <v>0.27</v>
      </c>
      <c r="U301" s="5">
        <v>8.5000000000000006E-2</v>
      </c>
      <c r="V301" s="5">
        <v>0.47399999999999998</v>
      </c>
      <c r="W301" t="s">
        <v>1318</v>
      </c>
      <c r="X301" t="s">
        <v>1319</v>
      </c>
      <c r="Y301" t="s">
        <v>1315</v>
      </c>
      <c r="Z301" t="s">
        <v>488</v>
      </c>
    </row>
    <row r="302" spans="1:26" x14ac:dyDescent="0.3">
      <c r="A302" t="s">
        <v>846</v>
      </c>
      <c r="B302" t="s">
        <v>432</v>
      </c>
      <c r="C302" t="s">
        <v>50</v>
      </c>
      <c r="D302" t="s">
        <v>484</v>
      </c>
      <c r="E302" t="s">
        <v>142</v>
      </c>
      <c r="F302" s="3">
        <v>10.674530000000001</v>
      </c>
      <c r="G302" s="3">
        <v>-2.3525399999999999</v>
      </c>
      <c r="H302" s="5">
        <v>0.79500000000000004</v>
      </c>
      <c r="I302" s="5">
        <v>7.5999999999999998E-2</v>
      </c>
      <c r="J302" s="5">
        <v>-0.54700000000000004</v>
      </c>
      <c r="K302" s="5">
        <v>-1.1299999999999999</v>
      </c>
      <c r="L302" s="5">
        <v>-0.20799999999999999</v>
      </c>
      <c r="M302" s="5">
        <v>0.85199999999999998</v>
      </c>
      <c r="N302" s="5">
        <v>0.65100000000000002</v>
      </c>
      <c r="O302" s="5">
        <v>0.87</v>
      </c>
      <c r="P302" s="5">
        <v>0.52300000000000002</v>
      </c>
      <c r="Q302" s="5">
        <v>0.41</v>
      </c>
      <c r="R302" s="5">
        <v>0.27</v>
      </c>
      <c r="S302" s="5">
        <v>0.22700000000000001</v>
      </c>
      <c r="T302" s="5">
        <v>6.8000000000000005E-2</v>
      </c>
      <c r="U302" s="5">
        <v>0.221</v>
      </c>
      <c r="V302" s="5">
        <v>0.41599999999999998</v>
      </c>
      <c r="W302" t="s">
        <v>1318</v>
      </c>
      <c r="X302" t="s">
        <v>1319</v>
      </c>
      <c r="Y302" t="s">
        <v>1314</v>
      </c>
      <c r="Z302" t="s">
        <v>488</v>
      </c>
    </row>
    <row r="303" spans="1:26" x14ac:dyDescent="0.3">
      <c r="A303" t="s">
        <v>847</v>
      </c>
      <c r="B303" t="s">
        <v>432</v>
      </c>
      <c r="C303" t="s">
        <v>50</v>
      </c>
      <c r="D303" t="s">
        <v>490</v>
      </c>
      <c r="E303" t="s">
        <v>142</v>
      </c>
      <c r="F303" s="3">
        <v>10.674530000000001</v>
      </c>
      <c r="G303" s="3">
        <v>-2.3525399999999999</v>
      </c>
      <c r="H303" s="5">
        <v>0.79500000000000004</v>
      </c>
      <c r="I303" s="5">
        <v>7.5999999999999998E-2</v>
      </c>
      <c r="J303" s="5">
        <v>1.327</v>
      </c>
      <c r="K303" s="5">
        <v>-0.43</v>
      </c>
      <c r="L303" s="5">
        <v>-0.13200000000000001</v>
      </c>
      <c r="M303" s="5">
        <v>1.2869999999999999</v>
      </c>
      <c r="N303" s="5">
        <v>0.74</v>
      </c>
      <c r="O303" s="5">
        <v>0.84499999999999997</v>
      </c>
      <c r="P303" s="5">
        <v>0.75</v>
      </c>
      <c r="Q303" s="5">
        <v>0.44900000000000001</v>
      </c>
      <c r="R303" s="5">
        <v>0.33</v>
      </c>
      <c r="S303" s="5">
        <v>0.317</v>
      </c>
      <c r="T303" s="5">
        <v>0.184</v>
      </c>
      <c r="U303" s="5">
        <v>0.23</v>
      </c>
      <c r="V303" s="5">
        <v>0.55700000000000005</v>
      </c>
      <c r="W303" t="s">
        <v>1318</v>
      </c>
      <c r="X303" t="s">
        <v>1319</v>
      </c>
      <c r="Y303" t="s">
        <v>1314</v>
      </c>
      <c r="Z303" t="s">
        <v>488</v>
      </c>
    </row>
    <row r="304" spans="1:26" x14ac:dyDescent="0.3">
      <c r="A304" t="s">
        <v>848</v>
      </c>
      <c r="B304" t="s">
        <v>434</v>
      </c>
      <c r="C304" t="s">
        <v>50</v>
      </c>
      <c r="D304" t="s">
        <v>484</v>
      </c>
      <c r="E304" t="s">
        <v>75</v>
      </c>
      <c r="F304" s="3">
        <v>10.779159999999999</v>
      </c>
      <c r="G304" s="3">
        <v>-2.7138200000000001</v>
      </c>
      <c r="H304" s="5">
        <v>0.57699999999999996</v>
      </c>
      <c r="I304" s="5">
        <v>0.18</v>
      </c>
      <c r="J304" s="5">
        <v>-0.77700000000000002</v>
      </c>
      <c r="K304" s="5">
        <v>-0.94599999999999995</v>
      </c>
      <c r="L304" s="5">
        <v>-0.44700000000000001</v>
      </c>
      <c r="M304" s="5">
        <v>1.502</v>
      </c>
      <c r="N304" s="5">
        <v>0.81599999999999995</v>
      </c>
      <c r="O304" s="5">
        <v>0.54700000000000004</v>
      </c>
      <c r="P304" s="5">
        <v>0.34</v>
      </c>
      <c r="Q304" s="5">
        <v>0.35</v>
      </c>
      <c r="R304" s="5">
        <v>0.60399999999999998</v>
      </c>
      <c r="S304" s="5">
        <v>0.33500000000000002</v>
      </c>
      <c r="T304" s="5">
        <v>0.152</v>
      </c>
      <c r="U304" s="5">
        <v>0.157</v>
      </c>
      <c r="V304" s="5">
        <v>0.311</v>
      </c>
      <c r="W304" t="s">
        <v>1312</v>
      </c>
      <c r="X304" t="s">
        <v>1313</v>
      </c>
      <c r="Y304" t="s">
        <v>1315</v>
      </c>
      <c r="Z304" t="s">
        <v>488</v>
      </c>
    </row>
    <row r="305" spans="1:26" x14ac:dyDescent="0.3">
      <c r="A305" t="s">
        <v>849</v>
      </c>
      <c r="B305" t="s">
        <v>434</v>
      </c>
      <c r="C305" t="s">
        <v>50</v>
      </c>
      <c r="D305" t="s">
        <v>490</v>
      </c>
      <c r="E305" t="s">
        <v>75</v>
      </c>
      <c r="F305" s="3">
        <v>10.779159999999999</v>
      </c>
      <c r="G305" s="3">
        <v>-2.7138200000000001</v>
      </c>
      <c r="H305" s="5">
        <v>0.57699999999999996</v>
      </c>
      <c r="I305" s="5">
        <v>0.18</v>
      </c>
      <c r="J305" s="5">
        <v>0.26300000000000001</v>
      </c>
      <c r="K305" s="5">
        <v>-0.59099999999999997</v>
      </c>
      <c r="L305" s="5">
        <v>-0.82699999999999996</v>
      </c>
      <c r="M305" s="5">
        <v>1.151</v>
      </c>
      <c r="N305" s="5">
        <v>0.76600000000000001</v>
      </c>
      <c r="O305" s="5">
        <v>0.74099999999999999</v>
      </c>
      <c r="P305" s="5">
        <v>0.56100000000000005</v>
      </c>
      <c r="Q305" s="5">
        <v>0.49399999999999999</v>
      </c>
      <c r="R305" s="5">
        <v>0.65400000000000003</v>
      </c>
      <c r="S305" s="5">
        <v>0.22</v>
      </c>
      <c r="T305" s="5">
        <v>0.21099999999999999</v>
      </c>
      <c r="U305" s="5">
        <v>0.112</v>
      </c>
      <c r="V305" s="5">
        <v>0.44400000000000001</v>
      </c>
      <c r="W305" t="s">
        <v>1312</v>
      </c>
      <c r="X305" t="s">
        <v>1313</v>
      </c>
      <c r="Y305" t="s">
        <v>1315</v>
      </c>
      <c r="Z305" t="s">
        <v>488</v>
      </c>
    </row>
    <row r="306" spans="1:26" x14ac:dyDescent="0.3">
      <c r="A306" t="s">
        <v>850</v>
      </c>
      <c r="B306" t="s">
        <v>435</v>
      </c>
      <c r="C306" t="s">
        <v>50</v>
      </c>
      <c r="D306" t="s">
        <v>484</v>
      </c>
      <c r="E306" t="s">
        <v>142</v>
      </c>
      <c r="F306" s="3">
        <v>10.79603</v>
      </c>
      <c r="G306" s="3">
        <v>-1.5509599999999999</v>
      </c>
      <c r="H306" s="5">
        <v>0.71899999999999997</v>
      </c>
      <c r="I306" s="5">
        <v>0.25</v>
      </c>
      <c r="J306" s="5">
        <v>-1.393</v>
      </c>
      <c r="K306" s="5">
        <v>-0.221</v>
      </c>
      <c r="L306" s="5">
        <v>-0.45600000000000002</v>
      </c>
      <c r="M306" s="5">
        <v>1.087</v>
      </c>
      <c r="N306" s="5">
        <v>0.71199999999999997</v>
      </c>
      <c r="O306" s="5">
        <v>0.56499999999999995</v>
      </c>
      <c r="P306" s="5">
        <v>0.374</v>
      </c>
      <c r="Q306" s="5">
        <v>0.36399999999999999</v>
      </c>
      <c r="R306" s="5">
        <v>0.29499999999999998</v>
      </c>
      <c r="S306" s="5">
        <v>0.216</v>
      </c>
      <c r="T306" s="5">
        <v>0.316</v>
      </c>
      <c r="U306" s="5">
        <v>0.125</v>
      </c>
      <c r="V306" s="5">
        <v>0.30399999999999999</v>
      </c>
      <c r="W306" t="s">
        <v>1316</v>
      </c>
      <c r="X306" t="s">
        <v>1317</v>
      </c>
      <c r="Y306" t="s">
        <v>1314</v>
      </c>
      <c r="Z306" t="s">
        <v>488</v>
      </c>
    </row>
    <row r="307" spans="1:26" x14ac:dyDescent="0.3">
      <c r="A307" t="s">
        <v>851</v>
      </c>
      <c r="B307" t="s">
        <v>435</v>
      </c>
      <c r="C307" t="s">
        <v>50</v>
      </c>
      <c r="D307" t="s">
        <v>490</v>
      </c>
      <c r="E307" t="s">
        <v>142</v>
      </c>
      <c r="F307" s="3">
        <v>10.79603</v>
      </c>
      <c r="G307" s="3">
        <v>-1.5509599999999999</v>
      </c>
      <c r="H307" s="5">
        <v>0.71899999999999997</v>
      </c>
      <c r="I307" s="5">
        <v>0.25</v>
      </c>
      <c r="J307" s="5">
        <v>1.097</v>
      </c>
      <c r="K307" s="5">
        <v>0.61299999999999999</v>
      </c>
      <c r="L307" s="5">
        <v>-0.86899999999999999</v>
      </c>
      <c r="M307" s="5">
        <v>0.98899999999999999</v>
      </c>
      <c r="N307" s="5">
        <v>0.53900000000000003</v>
      </c>
      <c r="O307" s="5">
        <v>1.0129999999999999</v>
      </c>
      <c r="P307" s="5">
        <v>0.73299999999999998</v>
      </c>
      <c r="Q307" s="5">
        <v>0.36199999999999999</v>
      </c>
      <c r="R307" s="5">
        <v>0.35799999999999998</v>
      </c>
      <c r="S307" s="5">
        <v>0.20699999999999999</v>
      </c>
      <c r="T307" s="5">
        <v>0.45500000000000002</v>
      </c>
      <c r="U307" s="5">
        <v>7.5999999999999998E-2</v>
      </c>
      <c r="V307" s="5">
        <v>0.56000000000000005</v>
      </c>
      <c r="W307" t="s">
        <v>1318</v>
      </c>
      <c r="X307" t="s">
        <v>1319</v>
      </c>
      <c r="Y307" t="s">
        <v>1315</v>
      </c>
      <c r="Z307" t="s">
        <v>488</v>
      </c>
    </row>
    <row r="308" spans="1:26" x14ac:dyDescent="0.3">
      <c r="A308" t="s">
        <v>852</v>
      </c>
      <c r="B308" t="s">
        <v>437</v>
      </c>
      <c r="C308" t="s">
        <v>50</v>
      </c>
      <c r="D308" t="s">
        <v>484</v>
      </c>
      <c r="E308" t="s">
        <v>277</v>
      </c>
      <c r="F308" s="3">
        <v>10.420999999999999</v>
      </c>
      <c r="G308" s="3">
        <v>-1.70082</v>
      </c>
      <c r="H308" s="5">
        <v>0.752</v>
      </c>
      <c r="I308" s="5">
        <v>0.26900000000000002</v>
      </c>
      <c r="J308" s="5">
        <v>-0.97799999999999998</v>
      </c>
      <c r="K308" s="5">
        <v>-0.44500000000000001</v>
      </c>
      <c r="L308" s="5">
        <v>-0.624</v>
      </c>
      <c r="M308" s="5">
        <v>1.0569999999999999</v>
      </c>
      <c r="N308" s="5">
        <v>0.80100000000000005</v>
      </c>
      <c r="O308" s="5">
        <v>0.70399999999999996</v>
      </c>
      <c r="P308" s="5">
        <v>0.443</v>
      </c>
      <c r="Q308" s="5">
        <v>0.68500000000000005</v>
      </c>
      <c r="R308" s="5">
        <v>0.33900000000000002</v>
      </c>
      <c r="S308" s="5">
        <v>0.28999999999999998</v>
      </c>
      <c r="T308" s="5">
        <v>0.24299999999999999</v>
      </c>
      <c r="U308" s="5">
        <v>0.19900000000000001</v>
      </c>
      <c r="V308" s="5">
        <v>0.35599999999999998</v>
      </c>
      <c r="W308" t="s">
        <v>1312</v>
      </c>
      <c r="X308" t="s">
        <v>1313</v>
      </c>
      <c r="Y308" t="s">
        <v>1315</v>
      </c>
      <c r="Z308" t="s">
        <v>488</v>
      </c>
    </row>
    <row r="309" spans="1:26" x14ac:dyDescent="0.3">
      <c r="A309" t="s">
        <v>853</v>
      </c>
      <c r="B309" t="s">
        <v>437</v>
      </c>
      <c r="C309" t="s">
        <v>50</v>
      </c>
      <c r="D309" t="s">
        <v>490</v>
      </c>
      <c r="E309" t="s">
        <v>277</v>
      </c>
      <c r="F309" s="3">
        <v>10.420999999999999</v>
      </c>
      <c r="G309" s="3">
        <v>-1.70082</v>
      </c>
      <c r="H309" s="5">
        <v>0.752</v>
      </c>
      <c r="I309" s="5">
        <v>0.26900000000000002</v>
      </c>
      <c r="J309" s="5">
        <v>0.29299999999999998</v>
      </c>
      <c r="K309" s="5">
        <v>-5.0999999999999997E-2</v>
      </c>
      <c r="L309" s="5">
        <v>0.20300000000000001</v>
      </c>
      <c r="M309" s="5">
        <v>0.92300000000000004</v>
      </c>
      <c r="N309" s="5">
        <v>0.65600000000000003</v>
      </c>
      <c r="O309" s="5">
        <v>0.746</v>
      </c>
      <c r="P309" s="5">
        <v>0.64800000000000002</v>
      </c>
      <c r="Q309" s="5">
        <v>0.73499999999999999</v>
      </c>
      <c r="R309" s="5">
        <v>0.26700000000000002</v>
      </c>
      <c r="S309" s="5">
        <v>0.151</v>
      </c>
      <c r="T309" s="5">
        <v>0.309</v>
      </c>
      <c r="U309" s="5">
        <v>0.29699999999999999</v>
      </c>
      <c r="V309" s="5">
        <v>0.47599999999999998</v>
      </c>
      <c r="W309" t="s">
        <v>1312</v>
      </c>
      <c r="X309" t="s">
        <v>1313</v>
      </c>
      <c r="Y309" t="s">
        <v>1315</v>
      </c>
      <c r="Z309" t="s">
        <v>488</v>
      </c>
    </row>
    <row r="310" spans="1:26" x14ac:dyDescent="0.3">
      <c r="A310" t="s">
        <v>854</v>
      </c>
      <c r="B310" t="s">
        <v>439</v>
      </c>
      <c r="C310" t="s">
        <v>50</v>
      </c>
      <c r="D310" t="s">
        <v>484</v>
      </c>
      <c r="E310" t="s">
        <v>277</v>
      </c>
      <c r="F310" s="3">
        <v>9.9566400000000002</v>
      </c>
      <c r="G310" s="3">
        <v>-1.7496499999999999</v>
      </c>
      <c r="H310" s="5">
        <v>0.70399999999999996</v>
      </c>
      <c r="I310" s="5">
        <v>0.38800000000000001</v>
      </c>
      <c r="J310" s="5">
        <v>-1.0069999999999999</v>
      </c>
      <c r="K310" s="5">
        <v>-0.156</v>
      </c>
      <c r="L310" s="5">
        <v>-0.53300000000000003</v>
      </c>
      <c r="M310" s="5">
        <v>1.024</v>
      </c>
      <c r="N310" s="5">
        <v>0.69399999999999995</v>
      </c>
      <c r="O310" s="5">
        <v>0.57199999999999995</v>
      </c>
      <c r="P310" s="5">
        <v>0.39200000000000002</v>
      </c>
      <c r="Q310" s="5">
        <v>0.65900000000000003</v>
      </c>
      <c r="R310" s="5">
        <v>0.26400000000000001</v>
      </c>
      <c r="S310" s="5">
        <v>0.17699999999999999</v>
      </c>
      <c r="T310" s="5">
        <v>0.35099999999999998</v>
      </c>
      <c r="U310" s="5">
        <v>0.24099999999999999</v>
      </c>
      <c r="V310" s="5">
        <v>0.32400000000000001</v>
      </c>
      <c r="W310" t="s">
        <v>1312</v>
      </c>
      <c r="X310" t="s">
        <v>1313</v>
      </c>
      <c r="Y310" t="s">
        <v>1315</v>
      </c>
      <c r="Z310" t="s">
        <v>488</v>
      </c>
    </row>
    <row r="311" spans="1:26" x14ac:dyDescent="0.3">
      <c r="A311" t="s">
        <v>855</v>
      </c>
      <c r="B311" t="s">
        <v>439</v>
      </c>
      <c r="C311" t="s">
        <v>50</v>
      </c>
      <c r="D311" t="s">
        <v>490</v>
      </c>
      <c r="E311" t="s">
        <v>277</v>
      </c>
      <c r="F311" s="3">
        <v>9.9566400000000002</v>
      </c>
      <c r="G311" s="3">
        <v>-1.7496499999999999</v>
      </c>
      <c r="H311" s="5">
        <v>0.70399999999999996</v>
      </c>
      <c r="I311" s="5">
        <v>0.38800000000000001</v>
      </c>
      <c r="J311" s="5">
        <v>1.2190000000000001</v>
      </c>
      <c r="K311" s="5">
        <v>1.5109999999999999</v>
      </c>
      <c r="L311" s="5">
        <v>0.433</v>
      </c>
      <c r="M311" s="5">
        <v>1.155</v>
      </c>
      <c r="N311" s="5">
        <v>0.72499999999999998</v>
      </c>
      <c r="O311" s="5">
        <v>0.72099999999999997</v>
      </c>
      <c r="P311" s="5">
        <v>0.67500000000000004</v>
      </c>
      <c r="Q311" s="5">
        <v>0.71899999999999997</v>
      </c>
      <c r="R311" s="5">
        <v>0.28299999999999997</v>
      </c>
      <c r="S311" s="5">
        <v>0.34699999999999998</v>
      </c>
      <c r="T311" s="5">
        <v>0.628</v>
      </c>
      <c r="U311" s="5">
        <v>0.35499999999999998</v>
      </c>
      <c r="V311" s="5">
        <v>0.51500000000000001</v>
      </c>
      <c r="W311" t="s">
        <v>1316</v>
      </c>
      <c r="X311" t="s">
        <v>1317</v>
      </c>
      <c r="Y311" t="s">
        <v>1315</v>
      </c>
      <c r="Z311" t="s">
        <v>488</v>
      </c>
    </row>
    <row r="312" spans="1:26" x14ac:dyDescent="0.3">
      <c r="A312" t="s">
        <v>856</v>
      </c>
      <c r="B312" t="s">
        <v>441</v>
      </c>
      <c r="C312" t="s">
        <v>50</v>
      </c>
      <c r="D312" t="s">
        <v>484</v>
      </c>
      <c r="E312" t="s">
        <v>277</v>
      </c>
      <c r="F312" s="3">
        <v>9.7421500000000005</v>
      </c>
      <c r="G312" s="3">
        <v>-2.0157799999999999</v>
      </c>
      <c r="H312" s="5">
        <v>0.61099999999999999</v>
      </c>
      <c r="I312" s="5">
        <v>0.44900000000000001</v>
      </c>
      <c r="J312" s="5">
        <v>-0.57999999999999996</v>
      </c>
      <c r="K312" s="5">
        <v>-0.28999999999999998</v>
      </c>
      <c r="L312" s="5">
        <v>0.34699999999999998</v>
      </c>
      <c r="M312" s="5">
        <v>1.107</v>
      </c>
      <c r="N312" s="5">
        <v>0.80700000000000005</v>
      </c>
      <c r="O312" s="5">
        <v>0.66400000000000003</v>
      </c>
      <c r="P312" s="5">
        <v>0.39100000000000001</v>
      </c>
      <c r="Q312" s="5">
        <v>0.60699999999999998</v>
      </c>
      <c r="R312" s="5">
        <v>0.245</v>
      </c>
      <c r="S312" s="5">
        <v>0.30199999999999999</v>
      </c>
      <c r="T312" s="5">
        <v>0.26800000000000002</v>
      </c>
      <c r="U312" s="5">
        <v>0.372</v>
      </c>
      <c r="V312" s="5">
        <v>0.34799999999999998</v>
      </c>
      <c r="W312" t="s">
        <v>1312</v>
      </c>
      <c r="X312" t="s">
        <v>1313</v>
      </c>
      <c r="Y312" t="s">
        <v>1315</v>
      </c>
      <c r="Z312" t="s">
        <v>488</v>
      </c>
    </row>
    <row r="313" spans="1:26" x14ac:dyDescent="0.3">
      <c r="A313" t="s">
        <v>857</v>
      </c>
      <c r="B313" t="s">
        <v>441</v>
      </c>
      <c r="C313" t="s">
        <v>50</v>
      </c>
      <c r="D313" t="s">
        <v>490</v>
      </c>
      <c r="E313" t="s">
        <v>277</v>
      </c>
      <c r="F313" s="3">
        <v>9.7421500000000005</v>
      </c>
      <c r="G313" s="3">
        <v>-2.0157799999999999</v>
      </c>
      <c r="H313" s="5">
        <v>0.61099999999999999</v>
      </c>
      <c r="I313" s="5">
        <v>0.44900000000000001</v>
      </c>
      <c r="J313" s="5">
        <v>0.78500000000000003</v>
      </c>
      <c r="K313" s="5">
        <v>-0.4</v>
      </c>
      <c r="L313" s="5">
        <v>1.637</v>
      </c>
      <c r="M313" s="5">
        <v>1.2330000000000001</v>
      </c>
      <c r="N313" s="5">
        <v>0.85399999999999998</v>
      </c>
      <c r="O313" s="5">
        <v>0.59199999999999997</v>
      </c>
      <c r="P313" s="5">
        <v>0.57899999999999996</v>
      </c>
      <c r="Q313" s="5">
        <v>0.753</v>
      </c>
      <c r="R313" s="5">
        <v>0.311</v>
      </c>
      <c r="S313" s="5">
        <v>0.245</v>
      </c>
      <c r="T313" s="5">
        <v>0.249</v>
      </c>
      <c r="U313" s="5">
        <v>0.52400000000000002</v>
      </c>
      <c r="V313" s="5">
        <v>0.45300000000000001</v>
      </c>
      <c r="W313" t="s">
        <v>1312</v>
      </c>
      <c r="X313" t="s">
        <v>1313</v>
      </c>
      <c r="Y313" t="s">
        <v>1315</v>
      </c>
      <c r="Z313" t="s">
        <v>488</v>
      </c>
    </row>
    <row r="314" spans="1:26" x14ac:dyDescent="0.3">
      <c r="A314" t="s">
        <v>858</v>
      </c>
      <c r="B314" t="s">
        <v>444</v>
      </c>
      <c r="C314" t="s">
        <v>50</v>
      </c>
      <c r="D314" t="s">
        <v>484</v>
      </c>
      <c r="E314" t="s">
        <v>142</v>
      </c>
      <c r="F314" s="3">
        <v>9.8663900000000009</v>
      </c>
      <c r="G314" s="3">
        <v>-3.1720000000000002</v>
      </c>
      <c r="H314" s="5">
        <v>0.67700000000000005</v>
      </c>
      <c r="I314" s="5">
        <v>0.108</v>
      </c>
      <c r="J314" s="5">
        <v>-1.5469999999999999</v>
      </c>
      <c r="K314" s="5">
        <v>0.996</v>
      </c>
      <c r="L314" s="5">
        <v>-0.89600000000000002</v>
      </c>
      <c r="M314" s="5">
        <v>1.5609999999999999</v>
      </c>
      <c r="N314" s="5">
        <v>0.69499999999999995</v>
      </c>
      <c r="O314" s="5">
        <v>0.61</v>
      </c>
      <c r="P314" s="5">
        <v>0.35399999999999998</v>
      </c>
      <c r="Q314" s="5">
        <v>0.42099999999999999</v>
      </c>
      <c r="R314" s="5">
        <v>0.246</v>
      </c>
      <c r="S314" s="5">
        <v>0.378</v>
      </c>
      <c r="T314" s="5">
        <v>0.53800000000000003</v>
      </c>
      <c r="U314" s="5">
        <v>0.106</v>
      </c>
      <c r="V314" s="5">
        <v>0.29599999999999999</v>
      </c>
      <c r="W314" t="s">
        <v>1316</v>
      </c>
      <c r="X314" t="s">
        <v>1317</v>
      </c>
      <c r="Y314" t="s">
        <v>1315</v>
      </c>
      <c r="Z314" t="s">
        <v>488</v>
      </c>
    </row>
    <row r="315" spans="1:26" x14ac:dyDescent="0.3">
      <c r="A315" t="s">
        <v>859</v>
      </c>
      <c r="B315" t="s">
        <v>444</v>
      </c>
      <c r="C315" t="s">
        <v>50</v>
      </c>
      <c r="D315" t="s">
        <v>490</v>
      </c>
      <c r="E315" t="s">
        <v>142</v>
      </c>
      <c r="F315" s="3">
        <v>9.8663900000000009</v>
      </c>
      <c r="G315" s="3">
        <v>-3.1720000000000002</v>
      </c>
      <c r="H315" s="5">
        <v>0.67700000000000005</v>
      </c>
      <c r="I315" s="5">
        <v>0.108</v>
      </c>
      <c r="J315" s="5">
        <v>1.4530000000000001</v>
      </c>
      <c r="K315" s="5">
        <v>0.85699999999999998</v>
      </c>
      <c r="L315" s="5">
        <v>-0.35399999999999998</v>
      </c>
      <c r="M315" s="5">
        <v>1.071</v>
      </c>
      <c r="N315" s="5">
        <v>0.66400000000000003</v>
      </c>
      <c r="O315" s="5">
        <v>0.85</v>
      </c>
      <c r="P315" s="5">
        <v>0.70199999999999996</v>
      </c>
      <c r="Q315" s="5">
        <v>0.45</v>
      </c>
      <c r="R315" s="5">
        <v>0.309</v>
      </c>
      <c r="S315" s="5">
        <v>0.316</v>
      </c>
      <c r="T315" s="5">
        <v>0.51500000000000001</v>
      </c>
      <c r="U315" s="5">
        <v>0.17</v>
      </c>
      <c r="V315" s="5">
        <v>0.54500000000000004</v>
      </c>
      <c r="W315" t="s">
        <v>1318</v>
      </c>
      <c r="X315" t="s">
        <v>1319</v>
      </c>
      <c r="Y315" t="s">
        <v>1315</v>
      </c>
      <c r="Z315" t="s">
        <v>488</v>
      </c>
    </row>
    <row r="316" spans="1:26" x14ac:dyDescent="0.3">
      <c r="A316" t="s">
        <v>860</v>
      </c>
      <c r="B316" t="s">
        <v>446</v>
      </c>
      <c r="C316" t="s">
        <v>50</v>
      </c>
      <c r="D316" t="s">
        <v>484</v>
      </c>
      <c r="E316" t="s">
        <v>101</v>
      </c>
      <c r="F316" s="3">
        <v>10.871169999999999</v>
      </c>
      <c r="G316" s="3">
        <v>-2.2581000000000002</v>
      </c>
      <c r="H316" s="5">
        <v>0.71699999999999997</v>
      </c>
      <c r="I316" s="5">
        <v>0.05</v>
      </c>
      <c r="J316" s="5">
        <v>-0.76500000000000001</v>
      </c>
      <c r="K316" s="5">
        <v>-0.63600000000000001</v>
      </c>
      <c r="L316" s="5">
        <v>-0.622</v>
      </c>
      <c r="M316" s="5">
        <v>0.95</v>
      </c>
      <c r="N316" s="5">
        <v>0.64300000000000002</v>
      </c>
      <c r="O316" s="5">
        <v>1.03</v>
      </c>
      <c r="P316" s="5">
        <v>0.504</v>
      </c>
      <c r="Q316" s="5">
        <v>0.66100000000000003</v>
      </c>
      <c r="R316" s="5">
        <v>0.30299999999999999</v>
      </c>
      <c r="S316" s="5">
        <v>0.161</v>
      </c>
      <c r="T316" s="5">
        <v>0.218</v>
      </c>
      <c r="U316" s="5">
        <v>0.13500000000000001</v>
      </c>
      <c r="V316" s="5">
        <v>0.41699999999999998</v>
      </c>
      <c r="W316" t="s">
        <v>1312</v>
      </c>
      <c r="X316" t="s">
        <v>1313</v>
      </c>
      <c r="Y316" t="s">
        <v>1314</v>
      </c>
      <c r="Z316" t="s">
        <v>488</v>
      </c>
    </row>
    <row r="317" spans="1:26" x14ac:dyDescent="0.3">
      <c r="A317" t="s">
        <v>861</v>
      </c>
      <c r="B317" t="s">
        <v>446</v>
      </c>
      <c r="C317" t="s">
        <v>50</v>
      </c>
      <c r="D317" t="s">
        <v>490</v>
      </c>
      <c r="E317" t="s">
        <v>101</v>
      </c>
      <c r="F317" s="3">
        <v>10.871169999999999</v>
      </c>
      <c r="G317" s="3">
        <v>-2.2581000000000002</v>
      </c>
      <c r="H317" s="5">
        <v>0.71699999999999997</v>
      </c>
      <c r="I317" s="5">
        <v>0.05</v>
      </c>
      <c r="J317" s="5">
        <v>1.012</v>
      </c>
      <c r="K317" s="5">
        <v>-0.28299999999999997</v>
      </c>
      <c r="L317" s="5">
        <v>-0.13700000000000001</v>
      </c>
      <c r="M317" s="5">
        <v>1.0900000000000001</v>
      </c>
      <c r="N317" s="5">
        <v>0.67</v>
      </c>
      <c r="O317" s="5">
        <v>0.72599999999999998</v>
      </c>
      <c r="P317" s="5">
        <v>0.67</v>
      </c>
      <c r="Q317" s="5">
        <v>0.79700000000000004</v>
      </c>
      <c r="R317" s="5">
        <v>0.35099999999999998</v>
      </c>
      <c r="S317" s="5">
        <v>0.216</v>
      </c>
      <c r="T317" s="5">
        <v>0.27700000000000002</v>
      </c>
      <c r="U317" s="5">
        <v>0.193</v>
      </c>
      <c r="V317" s="5">
        <v>0.50600000000000001</v>
      </c>
      <c r="W317" t="s">
        <v>1312</v>
      </c>
      <c r="X317" t="s">
        <v>1313</v>
      </c>
      <c r="Y317" t="s">
        <v>1315</v>
      </c>
      <c r="Z317" t="s">
        <v>488</v>
      </c>
    </row>
    <row r="318" spans="1:26" x14ac:dyDescent="0.3">
      <c r="A318" t="s">
        <v>862</v>
      </c>
      <c r="B318" t="s">
        <v>448</v>
      </c>
      <c r="C318" t="s">
        <v>50</v>
      </c>
      <c r="D318" t="s">
        <v>484</v>
      </c>
      <c r="E318" t="s">
        <v>101</v>
      </c>
      <c r="F318" s="3">
        <v>9.8550900000000006</v>
      </c>
      <c r="G318" s="3">
        <v>-2.8689399999999998</v>
      </c>
      <c r="H318" s="5">
        <v>0.60399999999999998</v>
      </c>
      <c r="I318" s="5">
        <v>0.52800000000000002</v>
      </c>
      <c r="J318" s="5">
        <v>-1.365</v>
      </c>
      <c r="K318" s="5">
        <v>0.108</v>
      </c>
      <c r="L318" s="5">
        <v>-0.36399999999999999</v>
      </c>
      <c r="M318" s="5">
        <v>1.347</v>
      </c>
      <c r="N318" s="5">
        <v>0.76500000000000001</v>
      </c>
      <c r="O318" s="5">
        <v>0.68100000000000005</v>
      </c>
      <c r="P318" s="5">
        <v>0.34399999999999997</v>
      </c>
      <c r="Q318" s="5">
        <v>0.65300000000000002</v>
      </c>
      <c r="R318" s="5">
        <v>0.39100000000000001</v>
      </c>
      <c r="S318" s="5">
        <v>0.36599999999999999</v>
      </c>
      <c r="T318" s="5">
        <v>0.38300000000000001</v>
      </c>
      <c r="U318" s="5">
        <v>0.20200000000000001</v>
      </c>
      <c r="V318" s="5">
        <v>0.30599999999999999</v>
      </c>
      <c r="W318" t="s">
        <v>1312</v>
      </c>
      <c r="X318" t="s">
        <v>1313</v>
      </c>
      <c r="Y318" t="s">
        <v>1314</v>
      </c>
      <c r="Z318" t="s">
        <v>488</v>
      </c>
    </row>
    <row r="319" spans="1:26" x14ac:dyDescent="0.3">
      <c r="A319" t="s">
        <v>863</v>
      </c>
      <c r="B319" t="s">
        <v>448</v>
      </c>
      <c r="C319" t="s">
        <v>50</v>
      </c>
      <c r="D319" t="s">
        <v>490</v>
      </c>
      <c r="E319" t="s">
        <v>101</v>
      </c>
      <c r="F319" s="3">
        <v>9.8550900000000006</v>
      </c>
      <c r="G319" s="3">
        <v>-2.8689399999999998</v>
      </c>
      <c r="H319" s="5">
        <v>0.60399999999999998</v>
      </c>
      <c r="I319" s="5">
        <v>0.52800000000000002</v>
      </c>
      <c r="J319" s="5">
        <v>0.58299999999999996</v>
      </c>
      <c r="K319" s="5">
        <v>0.42699999999999999</v>
      </c>
      <c r="L319" s="5">
        <v>0.35699999999999998</v>
      </c>
      <c r="M319" s="5">
        <v>0.91100000000000003</v>
      </c>
      <c r="N319" s="5">
        <v>0.67700000000000005</v>
      </c>
      <c r="O319" s="5">
        <v>0.80700000000000005</v>
      </c>
      <c r="P319" s="5">
        <v>0.60699999999999998</v>
      </c>
      <c r="Q319" s="5">
        <v>0.69399999999999995</v>
      </c>
      <c r="R319" s="5">
        <v>0.36299999999999999</v>
      </c>
      <c r="S319" s="5">
        <v>0.18</v>
      </c>
      <c r="T319" s="5">
        <v>0.436</v>
      </c>
      <c r="U319" s="5">
        <v>0.28699999999999998</v>
      </c>
      <c r="V319" s="5">
        <v>0.47799999999999998</v>
      </c>
      <c r="W319" t="s">
        <v>1312</v>
      </c>
      <c r="X319" t="s">
        <v>1313</v>
      </c>
      <c r="Y319" t="s">
        <v>1314</v>
      </c>
      <c r="Z319" t="s">
        <v>488</v>
      </c>
    </row>
    <row r="320" spans="1:26" x14ac:dyDescent="0.3">
      <c r="A320" t="s">
        <v>864</v>
      </c>
      <c r="B320" t="s">
        <v>450</v>
      </c>
      <c r="C320" t="s">
        <v>50</v>
      </c>
      <c r="D320" t="s">
        <v>484</v>
      </c>
      <c r="E320" t="s">
        <v>101</v>
      </c>
      <c r="F320" s="3">
        <v>9.8326700000000002</v>
      </c>
      <c r="G320" s="3">
        <v>-3.0954000000000002</v>
      </c>
      <c r="H320" s="5">
        <v>0.70499999999999996</v>
      </c>
      <c r="I320" s="5">
        <v>0.437</v>
      </c>
      <c r="J320" s="5">
        <v>-0.58399999999999996</v>
      </c>
      <c r="K320" s="5">
        <v>0.20300000000000001</v>
      </c>
      <c r="L320" s="5">
        <v>-0.69499999999999995</v>
      </c>
      <c r="M320" s="5">
        <v>1.3109999999999999</v>
      </c>
      <c r="N320" s="5">
        <v>0.71499999999999997</v>
      </c>
      <c r="O320" s="5">
        <v>0.61799999999999999</v>
      </c>
      <c r="P320" s="5">
        <v>0.42699999999999999</v>
      </c>
      <c r="Q320" s="5">
        <v>0.64900000000000002</v>
      </c>
      <c r="R320" s="5">
        <v>0.34200000000000003</v>
      </c>
      <c r="S320" s="5">
        <v>0.191</v>
      </c>
      <c r="T320" s="5">
        <v>0.40300000000000002</v>
      </c>
      <c r="U320" s="5">
        <v>0.14899999999999999</v>
      </c>
      <c r="V320" s="5">
        <v>0.35599999999999998</v>
      </c>
      <c r="W320" t="s">
        <v>1312</v>
      </c>
      <c r="X320" t="s">
        <v>1313</v>
      </c>
      <c r="Y320" t="s">
        <v>1315</v>
      </c>
      <c r="Z320" t="s">
        <v>488</v>
      </c>
    </row>
    <row r="321" spans="1:26" x14ac:dyDescent="0.3">
      <c r="A321" t="s">
        <v>865</v>
      </c>
      <c r="B321" t="s">
        <v>450</v>
      </c>
      <c r="C321" t="s">
        <v>50</v>
      </c>
      <c r="D321" t="s">
        <v>490</v>
      </c>
      <c r="E321" t="s">
        <v>101</v>
      </c>
      <c r="F321" s="3">
        <v>9.8326700000000002</v>
      </c>
      <c r="G321" s="3">
        <v>-3.0954000000000002</v>
      </c>
      <c r="H321" s="5">
        <v>0.70499999999999996</v>
      </c>
      <c r="I321" s="5">
        <v>0.437</v>
      </c>
      <c r="J321" s="5">
        <v>0.629</v>
      </c>
      <c r="K321" s="5">
        <v>0.47</v>
      </c>
      <c r="L321" s="5">
        <v>-0.59699999999999998</v>
      </c>
      <c r="M321" s="5">
        <v>0.92200000000000004</v>
      </c>
      <c r="N321" s="5">
        <v>0.75800000000000001</v>
      </c>
      <c r="O321" s="5">
        <v>0.72</v>
      </c>
      <c r="P321" s="5">
        <v>0.64</v>
      </c>
      <c r="Q321" s="5">
        <v>0.68799999999999994</v>
      </c>
      <c r="R321" s="5">
        <v>0.30099999999999999</v>
      </c>
      <c r="S321" s="5">
        <v>0.215</v>
      </c>
      <c r="T321" s="5">
        <v>0.44700000000000001</v>
      </c>
      <c r="U321" s="5">
        <v>0.161</v>
      </c>
      <c r="V321" s="5">
        <v>0.48199999999999998</v>
      </c>
      <c r="W321" t="s">
        <v>1312</v>
      </c>
      <c r="X321" t="s">
        <v>1313</v>
      </c>
      <c r="Y321" t="s">
        <v>1315</v>
      </c>
      <c r="Z321" t="s">
        <v>488</v>
      </c>
    </row>
  </sheetData>
  <conditionalFormatting sqref="Z2:Z321">
    <cfRule type="expression" dxfId="0" priority="1">
      <formula>ISNUMBER(SEARCH("CBE &gt; ±10%",Z2))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.4" x14ac:dyDescent="0.3"/>
  <cols>
    <col min="1" max="4" width="28" customWidth="1"/>
  </cols>
  <sheetData>
    <row r="1" spans="1:26" x14ac:dyDescent="0.3">
      <c r="A1" s="10" t="s">
        <v>1324</v>
      </c>
      <c r="B1" s="10" t="s">
        <v>1325</v>
      </c>
      <c r="C1" s="10" t="s">
        <v>1326</v>
      </c>
      <c r="D1" s="10" t="s">
        <v>1327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2" x14ac:dyDescent="0.3">
      <c r="A2" s="1" t="s">
        <v>1328</v>
      </c>
      <c r="B2" s="1" t="s">
        <v>51</v>
      </c>
      <c r="C2" s="1" t="s">
        <v>1329</v>
      </c>
      <c r="D2" s="1" t="s">
        <v>1330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8" x14ac:dyDescent="0.3">
      <c r="A3" s="1" t="s">
        <v>1328</v>
      </c>
      <c r="B3" s="1" t="s">
        <v>37</v>
      </c>
      <c r="C3" s="1" t="s">
        <v>1331</v>
      </c>
      <c r="D3" s="1" t="s">
        <v>1332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8" x14ac:dyDescent="0.3">
      <c r="A4" s="1" t="s">
        <v>1328</v>
      </c>
      <c r="B4" s="1" t="s">
        <v>52</v>
      </c>
      <c r="C4" s="1" t="s">
        <v>1331</v>
      </c>
      <c r="D4" s="1" t="s">
        <v>1333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8" x14ac:dyDescent="0.3">
      <c r="A5" s="1" t="s">
        <v>1328</v>
      </c>
      <c r="B5" s="1" t="s">
        <v>53</v>
      </c>
      <c r="C5" s="1" t="s">
        <v>1334</v>
      </c>
      <c r="D5" s="1" t="s">
        <v>1335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7.6" x14ac:dyDescent="0.3">
      <c r="A6" s="1" t="s">
        <v>1328</v>
      </c>
      <c r="B6" s="1" t="s">
        <v>54</v>
      </c>
      <c r="C6" s="1" t="s">
        <v>1336</v>
      </c>
      <c r="D6" s="1" t="s">
        <v>1337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.6" x14ac:dyDescent="0.3">
      <c r="A7" s="1" t="s">
        <v>1328</v>
      </c>
      <c r="B7" s="1" t="s">
        <v>55</v>
      </c>
      <c r="C7" s="1" t="s">
        <v>1336</v>
      </c>
      <c r="D7" s="1" t="s">
        <v>1338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8" x14ac:dyDescent="0.3">
      <c r="A8" s="1" t="s">
        <v>1328</v>
      </c>
      <c r="B8" s="1" t="s">
        <v>56</v>
      </c>
      <c r="C8" s="1" t="s">
        <v>1339</v>
      </c>
      <c r="D8" s="1" t="s">
        <v>1340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">
        <v>1328</v>
      </c>
      <c r="B9" s="1" t="s">
        <v>57</v>
      </c>
      <c r="C9" s="1" t="s">
        <v>1339</v>
      </c>
      <c r="D9" s="1" t="s">
        <v>1341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8" x14ac:dyDescent="0.3">
      <c r="A10" s="1" t="s">
        <v>1328</v>
      </c>
      <c r="B10" s="1" t="s">
        <v>58</v>
      </c>
      <c r="C10" s="1" t="s">
        <v>1339</v>
      </c>
      <c r="D10" s="1" t="s">
        <v>1342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7.6" x14ac:dyDescent="0.3">
      <c r="A11" s="1" t="s">
        <v>1328</v>
      </c>
      <c r="B11" s="1" t="s">
        <v>59</v>
      </c>
      <c r="C11" s="1" t="s">
        <v>1343</v>
      </c>
      <c r="D11" s="1" t="s">
        <v>1344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8" x14ac:dyDescent="0.3">
      <c r="A12" s="1" t="s">
        <v>1328</v>
      </c>
      <c r="B12" s="1" t="s">
        <v>60</v>
      </c>
      <c r="C12" s="1" t="s">
        <v>1343</v>
      </c>
      <c r="D12" s="1" t="s">
        <v>1345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3.2" x14ac:dyDescent="0.3">
      <c r="A13" s="1" t="s">
        <v>1328</v>
      </c>
      <c r="B13" s="1" t="s">
        <v>61</v>
      </c>
      <c r="C13" s="1" t="s">
        <v>1331</v>
      </c>
      <c r="D13" s="1" t="s">
        <v>1346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3.2" x14ac:dyDescent="0.3">
      <c r="A14" s="1" t="s">
        <v>1328</v>
      </c>
      <c r="B14" s="1" t="s">
        <v>62</v>
      </c>
      <c r="C14" s="1" t="s">
        <v>1343</v>
      </c>
      <c r="D14" s="1" t="s">
        <v>1347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3.2" x14ac:dyDescent="0.3">
      <c r="A15" s="1" t="s">
        <v>1328</v>
      </c>
      <c r="B15" s="1" t="s">
        <v>63</v>
      </c>
      <c r="C15" s="1" t="s">
        <v>1348</v>
      </c>
      <c r="D15" s="1" t="s">
        <v>1349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3.2" x14ac:dyDescent="0.3">
      <c r="A16" s="1" t="s">
        <v>1328</v>
      </c>
      <c r="B16" s="1" t="s">
        <v>64</v>
      </c>
      <c r="C16" s="1" t="s">
        <v>1348</v>
      </c>
      <c r="D16" s="1" t="s">
        <v>1350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8" x14ac:dyDescent="0.3">
      <c r="A17" s="1" t="s">
        <v>1328</v>
      </c>
      <c r="B17" s="1" t="s">
        <v>65</v>
      </c>
      <c r="C17" s="1" t="s">
        <v>1348</v>
      </c>
      <c r="D17" s="1" t="s">
        <v>1351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3.2" x14ac:dyDescent="0.3">
      <c r="A18" s="1" t="s">
        <v>1328</v>
      </c>
      <c r="B18" s="1" t="s">
        <v>66</v>
      </c>
      <c r="C18" s="1" t="s">
        <v>1352</v>
      </c>
      <c r="D18" s="1" t="s">
        <v>1353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3.2" x14ac:dyDescent="0.3">
      <c r="A19" s="1" t="s">
        <v>1328</v>
      </c>
      <c r="B19" s="1" t="s">
        <v>67</v>
      </c>
      <c r="C19" s="1" t="s">
        <v>1352</v>
      </c>
      <c r="D19" s="1" t="s">
        <v>1354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3.2" x14ac:dyDescent="0.3">
      <c r="A20" s="1" t="s">
        <v>1328</v>
      </c>
      <c r="B20" s="1" t="s">
        <v>68</v>
      </c>
      <c r="C20" s="1" t="s">
        <v>1352</v>
      </c>
      <c r="D20" s="1" t="s">
        <v>1355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2" x14ac:dyDescent="0.3">
      <c r="A21" s="1" t="s">
        <v>1328</v>
      </c>
      <c r="B21" s="1" t="s">
        <v>69</v>
      </c>
      <c r="C21" s="1" t="s">
        <v>1352</v>
      </c>
      <c r="D21" s="1" t="s">
        <v>1356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3.2" x14ac:dyDescent="0.3">
      <c r="A22" s="1" t="s">
        <v>1328</v>
      </c>
      <c r="B22" s="1" t="s">
        <v>70</v>
      </c>
      <c r="C22" s="1" t="s">
        <v>1343</v>
      </c>
      <c r="D22" s="1" t="s">
        <v>1357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2" x14ac:dyDescent="0.3">
      <c r="A23" s="1" t="s">
        <v>1328</v>
      </c>
      <c r="B23" s="1" t="s">
        <v>71</v>
      </c>
      <c r="C23" s="1" t="s">
        <v>1358</v>
      </c>
      <c r="D23" s="1" t="s">
        <v>1359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3.2" x14ac:dyDescent="0.3">
      <c r="A24" s="1" t="s">
        <v>1360</v>
      </c>
      <c r="B24" s="1" t="s">
        <v>452</v>
      </c>
      <c r="C24" s="1" t="s">
        <v>1329</v>
      </c>
      <c r="D24" s="1" t="s">
        <v>1361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3.2" x14ac:dyDescent="0.3">
      <c r="A25" s="1" t="s">
        <v>1360</v>
      </c>
      <c r="B25" s="1" t="s">
        <v>51</v>
      </c>
      <c r="C25" s="1" t="s">
        <v>1329</v>
      </c>
      <c r="D25" s="1" t="s">
        <v>1330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 t="s">
        <v>1360</v>
      </c>
      <c r="B26" s="1" t="s">
        <v>453</v>
      </c>
      <c r="C26" s="1" t="s">
        <v>1343</v>
      </c>
      <c r="D26" s="1" t="s">
        <v>1362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2" x14ac:dyDescent="0.3">
      <c r="A27" s="1" t="s">
        <v>1360</v>
      </c>
      <c r="B27" s="1" t="s">
        <v>454</v>
      </c>
      <c r="C27" s="1" t="s">
        <v>1363</v>
      </c>
      <c r="D27" s="1" t="s">
        <v>1364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8" x14ac:dyDescent="0.3">
      <c r="A28" s="1" t="s">
        <v>1360</v>
      </c>
      <c r="B28" s="1" t="s">
        <v>37</v>
      </c>
      <c r="C28" s="1" t="s">
        <v>1331</v>
      </c>
      <c r="D28" s="1" t="s">
        <v>1332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7.6" x14ac:dyDescent="0.3">
      <c r="A29" s="1" t="s">
        <v>1360</v>
      </c>
      <c r="B29" s="1" t="s">
        <v>59</v>
      </c>
      <c r="C29" s="1" t="s">
        <v>1343</v>
      </c>
      <c r="D29" s="1" t="s">
        <v>1344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8" x14ac:dyDescent="0.3">
      <c r="A30" s="1" t="s">
        <v>1360</v>
      </c>
      <c r="B30" s="1" t="s">
        <v>455</v>
      </c>
      <c r="C30" s="1" t="s">
        <v>1365</v>
      </c>
      <c r="D30" s="1" t="s">
        <v>1366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8" x14ac:dyDescent="0.3">
      <c r="A31" s="1" t="s">
        <v>1360</v>
      </c>
      <c r="B31" s="1" t="s">
        <v>456</v>
      </c>
      <c r="C31" s="1" t="s">
        <v>1367</v>
      </c>
      <c r="D31" s="1" t="s">
        <v>1368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.8" x14ac:dyDescent="0.3">
      <c r="A32" s="1" t="s">
        <v>1360</v>
      </c>
      <c r="B32" s="1" t="s">
        <v>457</v>
      </c>
      <c r="C32" s="1" t="s">
        <v>1369</v>
      </c>
      <c r="D32" s="1" t="s">
        <v>1370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8" x14ac:dyDescent="0.3">
      <c r="A33" s="1" t="s">
        <v>1360</v>
      </c>
      <c r="B33" s="1" t="s">
        <v>458</v>
      </c>
      <c r="C33" s="1" t="s">
        <v>1371</v>
      </c>
      <c r="D33" s="1" t="s">
        <v>1372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8" x14ac:dyDescent="0.3">
      <c r="A34" s="1" t="s">
        <v>1360</v>
      </c>
      <c r="B34" s="1" t="s">
        <v>459</v>
      </c>
      <c r="C34" s="1" t="s">
        <v>1369</v>
      </c>
      <c r="D34" s="1" t="s">
        <v>1373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.8" x14ac:dyDescent="0.3">
      <c r="A35" s="1" t="s">
        <v>1360</v>
      </c>
      <c r="B35" s="1" t="s">
        <v>460</v>
      </c>
      <c r="C35" s="1" t="s">
        <v>1369</v>
      </c>
      <c r="D35" s="1" t="s">
        <v>1374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">
        <v>1360</v>
      </c>
      <c r="B36" s="1" t="s">
        <v>461</v>
      </c>
      <c r="C36" s="1" t="s">
        <v>1369</v>
      </c>
      <c r="D36" s="1" t="s">
        <v>1375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.8" x14ac:dyDescent="0.3">
      <c r="A37" s="1" t="s">
        <v>1360</v>
      </c>
      <c r="B37" s="1" t="s">
        <v>462</v>
      </c>
      <c r="C37" s="1" t="s">
        <v>1369</v>
      </c>
      <c r="D37" s="1" t="s">
        <v>1376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3.2" x14ac:dyDescent="0.3">
      <c r="A38" s="1" t="s">
        <v>1360</v>
      </c>
      <c r="B38" s="1" t="s">
        <v>463</v>
      </c>
      <c r="C38" s="1" t="s">
        <v>1369</v>
      </c>
      <c r="D38" s="1" t="s">
        <v>1377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3.2" x14ac:dyDescent="0.3">
      <c r="A39" s="1" t="s">
        <v>1360</v>
      </c>
      <c r="B39" s="1" t="s">
        <v>464</v>
      </c>
      <c r="C39" s="1" t="s">
        <v>1369</v>
      </c>
      <c r="D39" s="1" t="s">
        <v>1378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3.2" x14ac:dyDescent="0.3">
      <c r="A40" s="1" t="s">
        <v>1360</v>
      </c>
      <c r="B40" s="1" t="s">
        <v>465</v>
      </c>
      <c r="C40" s="1" t="s">
        <v>1369</v>
      </c>
      <c r="D40" s="1" t="s">
        <v>1379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2" x14ac:dyDescent="0.3">
      <c r="A41" s="1" t="s">
        <v>1360</v>
      </c>
      <c r="B41" s="1" t="s">
        <v>466</v>
      </c>
      <c r="C41" s="1" t="s">
        <v>1369</v>
      </c>
      <c r="D41" s="1" t="s">
        <v>1380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3.2" x14ac:dyDescent="0.3">
      <c r="A42" s="1" t="s">
        <v>1360</v>
      </c>
      <c r="B42" s="1" t="s">
        <v>467</v>
      </c>
      <c r="C42" s="1" t="s">
        <v>1369</v>
      </c>
      <c r="D42" s="1" t="s">
        <v>1381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3.2" x14ac:dyDescent="0.3">
      <c r="A43" s="1" t="s">
        <v>1360</v>
      </c>
      <c r="B43" s="1" t="s">
        <v>468</v>
      </c>
      <c r="C43" s="1" t="s">
        <v>1382</v>
      </c>
      <c r="D43" s="1" t="s">
        <v>1383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3.2" x14ac:dyDescent="0.3">
      <c r="A44" s="1" t="s">
        <v>1360</v>
      </c>
      <c r="B44" s="1" t="s">
        <v>469</v>
      </c>
      <c r="C44" s="1" t="s">
        <v>1382</v>
      </c>
      <c r="D44" s="1" t="s">
        <v>1384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3.2" x14ac:dyDescent="0.3">
      <c r="A45" s="1" t="s">
        <v>1360</v>
      </c>
      <c r="B45" s="1" t="s">
        <v>470</v>
      </c>
      <c r="C45" s="1" t="s">
        <v>1369</v>
      </c>
      <c r="D45" s="1" t="s">
        <v>1385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3.2" x14ac:dyDescent="0.3">
      <c r="A46" s="1" t="s">
        <v>1360</v>
      </c>
      <c r="B46" s="1" t="s">
        <v>471</v>
      </c>
      <c r="C46" s="1" t="s">
        <v>1369</v>
      </c>
      <c r="D46" s="1" t="s">
        <v>1386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8" x14ac:dyDescent="0.3">
      <c r="A47" s="1" t="s">
        <v>1360</v>
      </c>
      <c r="B47" s="1" t="s">
        <v>472</v>
      </c>
      <c r="C47" s="1" t="s">
        <v>1387</v>
      </c>
      <c r="D47" s="1" t="s">
        <v>1388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.8" x14ac:dyDescent="0.3">
      <c r="A48" s="1" t="s">
        <v>1360</v>
      </c>
      <c r="B48" s="1" t="s">
        <v>473</v>
      </c>
      <c r="C48" s="1" t="s">
        <v>1387</v>
      </c>
      <c r="D48" s="1" t="s">
        <v>1389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8" x14ac:dyDescent="0.3">
      <c r="A49" s="1" t="s">
        <v>1360</v>
      </c>
      <c r="B49" s="1" t="s">
        <v>474</v>
      </c>
      <c r="C49" s="1" t="s">
        <v>1387</v>
      </c>
      <c r="D49" s="1" t="s">
        <v>1390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8" x14ac:dyDescent="0.3">
      <c r="A50" s="1" t="s">
        <v>1360</v>
      </c>
      <c r="B50" s="1" t="s">
        <v>475</v>
      </c>
      <c r="C50" s="1" t="s">
        <v>1387</v>
      </c>
      <c r="D50" s="1" t="s">
        <v>1391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3.2" x14ac:dyDescent="0.3">
      <c r="A51" s="1" t="s">
        <v>1360</v>
      </c>
      <c r="B51" s="1" t="s">
        <v>476</v>
      </c>
      <c r="C51" s="1" t="s">
        <v>1392</v>
      </c>
      <c r="D51" s="1" t="s">
        <v>1393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3.2" x14ac:dyDescent="0.3">
      <c r="A52" s="1" t="s">
        <v>1360</v>
      </c>
      <c r="B52" s="1" t="s">
        <v>477</v>
      </c>
      <c r="C52" s="1" t="s">
        <v>1392</v>
      </c>
      <c r="D52" s="1" t="s">
        <v>1394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3.2" x14ac:dyDescent="0.3">
      <c r="A53" s="1" t="s">
        <v>1360</v>
      </c>
      <c r="B53" s="1" t="s">
        <v>478</v>
      </c>
      <c r="C53" s="1" t="s">
        <v>1395</v>
      </c>
      <c r="D53" s="1" t="s">
        <v>1396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8.8" x14ac:dyDescent="0.3">
      <c r="A54" s="1" t="s">
        <v>1360</v>
      </c>
      <c r="B54" s="1" t="s">
        <v>479</v>
      </c>
      <c r="C54" s="1" t="s">
        <v>1397</v>
      </c>
      <c r="D54" s="1" t="s">
        <v>1398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8.8" x14ac:dyDescent="0.3">
      <c r="A55" s="1" t="s">
        <v>1360</v>
      </c>
      <c r="B55" s="1" t="s">
        <v>480</v>
      </c>
      <c r="C55" s="1" t="s">
        <v>1395</v>
      </c>
      <c r="D55" s="1" t="s">
        <v>1399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3.2" x14ac:dyDescent="0.3">
      <c r="A56" s="1" t="s">
        <v>1360</v>
      </c>
      <c r="B56" s="1" t="s">
        <v>481</v>
      </c>
      <c r="C56" s="1" t="s">
        <v>1343</v>
      </c>
      <c r="D56" s="1" t="s">
        <v>1400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3.2" x14ac:dyDescent="0.3">
      <c r="A57" s="1" t="s">
        <v>1360</v>
      </c>
      <c r="B57" s="1" t="s">
        <v>46</v>
      </c>
      <c r="C57" s="1" t="s">
        <v>1343</v>
      </c>
      <c r="D57" s="1" t="s">
        <v>1401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7.6" x14ac:dyDescent="0.3">
      <c r="A58" s="1" t="s">
        <v>1360</v>
      </c>
      <c r="B58" s="1" t="s">
        <v>482</v>
      </c>
      <c r="C58" s="1" t="s">
        <v>1343</v>
      </c>
      <c r="D58" s="1" t="s">
        <v>1402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72" x14ac:dyDescent="0.3">
      <c r="A59" s="1" t="s">
        <v>1360</v>
      </c>
      <c r="B59" s="1" t="s">
        <v>71</v>
      </c>
      <c r="C59" s="1" t="s">
        <v>1358</v>
      </c>
      <c r="D59" s="1" t="s">
        <v>1359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8.8" x14ac:dyDescent="0.3">
      <c r="A60" s="1" t="s">
        <v>1403</v>
      </c>
      <c r="B60" s="1" t="s">
        <v>37</v>
      </c>
      <c r="C60" s="1" t="s">
        <v>1331</v>
      </c>
      <c r="D60" s="1" t="s">
        <v>1332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8.8" x14ac:dyDescent="0.3">
      <c r="A61" s="1" t="s">
        <v>1403</v>
      </c>
      <c r="B61" s="1" t="s">
        <v>866</v>
      </c>
      <c r="C61" s="1" t="s">
        <v>1404</v>
      </c>
      <c r="D61" s="1" t="s">
        <v>1405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 t="s">
        <v>1403</v>
      </c>
      <c r="B62" s="1" t="s">
        <v>867</v>
      </c>
      <c r="C62" s="1" t="s">
        <v>1406</v>
      </c>
      <c r="D62" s="1" t="s">
        <v>1407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8.8" x14ac:dyDescent="0.3">
      <c r="A63" s="1" t="s">
        <v>1403</v>
      </c>
      <c r="B63" s="1" t="s">
        <v>868</v>
      </c>
      <c r="C63" s="1" t="s">
        <v>1395</v>
      </c>
      <c r="D63" s="1" t="s">
        <v>1408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 t="s">
        <v>1403</v>
      </c>
      <c r="B64" s="1" t="s">
        <v>869</v>
      </c>
      <c r="C64" s="1" t="s">
        <v>1371</v>
      </c>
      <c r="D64" s="1" t="s">
        <v>1409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8.8" x14ac:dyDescent="0.3">
      <c r="A65" s="1" t="s">
        <v>1403</v>
      </c>
      <c r="B65" s="1" t="s">
        <v>870</v>
      </c>
      <c r="C65" s="1" t="s">
        <v>1406</v>
      </c>
      <c r="D65" s="1" t="s">
        <v>1410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3.2" x14ac:dyDescent="0.3">
      <c r="A66" s="1" t="s">
        <v>1403</v>
      </c>
      <c r="B66" s="1" t="s">
        <v>871</v>
      </c>
      <c r="C66" s="1" t="s">
        <v>1411</v>
      </c>
      <c r="D66" s="1" t="s">
        <v>1412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3.2" x14ac:dyDescent="0.3">
      <c r="A67" s="1" t="s">
        <v>1403</v>
      </c>
      <c r="B67" s="1" t="s">
        <v>872</v>
      </c>
      <c r="C67" s="1" t="s">
        <v>1413</v>
      </c>
      <c r="D67" s="1" t="s">
        <v>1414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3.2" x14ac:dyDescent="0.3">
      <c r="A68" s="1" t="s">
        <v>1403</v>
      </c>
      <c r="B68" s="1" t="s">
        <v>873</v>
      </c>
      <c r="C68" s="1" t="s">
        <v>1415</v>
      </c>
      <c r="D68" s="1" t="s">
        <v>1416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8.8" x14ac:dyDescent="0.3">
      <c r="A69" s="1" t="s">
        <v>1403</v>
      </c>
      <c r="B69" s="1" t="s">
        <v>874</v>
      </c>
      <c r="C69" s="1" t="s">
        <v>1406</v>
      </c>
      <c r="D69" s="1" t="s">
        <v>1417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8.8" x14ac:dyDescent="0.3">
      <c r="A70" s="1" t="s">
        <v>1403</v>
      </c>
      <c r="B70" s="1" t="s">
        <v>875</v>
      </c>
      <c r="C70" s="1" t="s">
        <v>1343</v>
      </c>
      <c r="D70" s="1" t="s">
        <v>1418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72" x14ac:dyDescent="0.3">
      <c r="A71" s="1" t="s">
        <v>1403</v>
      </c>
      <c r="B71" s="1" t="s">
        <v>71</v>
      </c>
      <c r="C71" s="1" t="s">
        <v>1358</v>
      </c>
      <c r="D71" s="1" t="s">
        <v>1359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8.8" x14ac:dyDescent="0.3">
      <c r="A72" s="1" t="s">
        <v>1419</v>
      </c>
      <c r="B72" s="1" t="s">
        <v>879</v>
      </c>
      <c r="C72" s="1" t="s">
        <v>1329</v>
      </c>
      <c r="D72" s="1" t="s">
        <v>1420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8.8" x14ac:dyDescent="0.3">
      <c r="A73" s="1" t="s">
        <v>1419</v>
      </c>
      <c r="B73" s="1" t="s">
        <v>880</v>
      </c>
      <c r="C73" s="1" t="s">
        <v>1329</v>
      </c>
      <c r="D73" s="1" t="s">
        <v>1421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43.2" x14ac:dyDescent="0.3">
      <c r="A74" s="1" t="s">
        <v>1419</v>
      </c>
      <c r="B74" s="1" t="s">
        <v>881</v>
      </c>
      <c r="C74" s="1" t="s">
        <v>1343</v>
      </c>
      <c r="D74" s="1" t="s">
        <v>1422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8.8" x14ac:dyDescent="0.3">
      <c r="A75" s="1" t="s">
        <v>1419</v>
      </c>
      <c r="B75" s="1" t="s">
        <v>882</v>
      </c>
      <c r="C75" s="1" t="s">
        <v>1348</v>
      </c>
      <c r="D75" s="1" t="s">
        <v>1423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8.8" x14ac:dyDescent="0.3">
      <c r="A76" s="1" t="s">
        <v>1419</v>
      </c>
      <c r="B76" s="1" t="s">
        <v>883</v>
      </c>
      <c r="C76" s="1" t="s">
        <v>1352</v>
      </c>
      <c r="D76" s="1" t="s">
        <v>1424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8.8" x14ac:dyDescent="0.3">
      <c r="A77" s="1" t="s">
        <v>1419</v>
      </c>
      <c r="B77" s="1" t="s">
        <v>884</v>
      </c>
      <c r="C77" s="1" t="s">
        <v>1352</v>
      </c>
      <c r="D77" s="1" t="s">
        <v>1425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43.2" x14ac:dyDescent="0.3">
      <c r="A78" s="1" t="s">
        <v>1419</v>
      </c>
      <c r="B78" s="1" t="s">
        <v>885</v>
      </c>
      <c r="C78" s="1" t="s">
        <v>1352</v>
      </c>
      <c r="D78" s="1" t="s">
        <v>1426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57.6" x14ac:dyDescent="0.3">
      <c r="A79" s="1" t="s">
        <v>1419</v>
      </c>
      <c r="B79" s="1" t="s">
        <v>886</v>
      </c>
      <c r="C79" s="1" t="s">
        <v>1352</v>
      </c>
      <c r="D79" s="1" t="s">
        <v>1427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43.2" x14ac:dyDescent="0.3">
      <c r="A80" s="1" t="s">
        <v>1419</v>
      </c>
      <c r="B80" s="1" t="s">
        <v>887</v>
      </c>
      <c r="C80" s="1" t="s">
        <v>1428</v>
      </c>
      <c r="D80" s="1" t="s">
        <v>1429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8.8" x14ac:dyDescent="0.3">
      <c r="A81" s="1" t="s">
        <v>1419</v>
      </c>
      <c r="B81" s="1" t="s">
        <v>888</v>
      </c>
      <c r="C81" s="1" t="s">
        <v>1343</v>
      </c>
      <c r="D81" s="1" t="s">
        <v>1430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2" x14ac:dyDescent="0.3">
      <c r="A82" s="1" t="s">
        <v>1419</v>
      </c>
      <c r="B82" s="1" t="s">
        <v>889</v>
      </c>
      <c r="C82" s="1" t="s">
        <v>1329</v>
      </c>
      <c r="D82" s="1" t="s">
        <v>1431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72" x14ac:dyDescent="0.3">
      <c r="A83" s="1" t="s">
        <v>1419</v>
      </c>
      <c r="B83" s="1" t="s">
        <v>71</v>
      </c>
      <c r="C83" s="1" t="s">
        <v>1358</v>
      </c>
      <c r="D83" s="1" t="s">
        <v>1359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43.2" x14ac:dyDescent="0.3">
      <c r="A84" s="1" t="s">
        <v>1432</v>
      </c>
      <c r="B84" s="1" t="s">
        <v>452</v>
      </c>
      <c r="C84" s="1" t="s">
        <v>1329</v>
      </c>
      <c r="D84" s="1" t="s">
        <v>1361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43.2" x14ac:dyDescent="0.3">
      <c r="A85" s="1" t="s">
        <v>1432</v>
      </c>
      <c r="B85" s="1" t="s">
        <v>51</v>
      </c>
      <c r="C85" s="1" t="s">
        <v>1329</v>
      </c>
      <c r="D85" s="1" t="s">
        <v>1330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8.8" x14ac:dyDescent="0.3">
      <c r="A86" s="1" t="s">
        <v>1432</v>
      </c>
      <c r="B86" s="1" t="s">
        <v>37</v>
      </c>
      <c r="C86" s="1" t="s">
        <v>1331</v>
      </c>
      <c r="D86" s="1" t="s">
        <v>1332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 t="s">
        <v>1432</v>
      </c>
      <c r="B87" s="1" t="s">
        <v>453</v>
      </c>
      <c r="C87" s="1" t="s">
        <v>1343</v>
      </c>
      <c r="D87" s="1" t="s">
        <v>1362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57.6" x14ac:dyDescent="0.3">
      <c r="A88" s="1" t="s">
        <v>1432</v>
      </c>
      <c r="B88" s="1" t="s">
        <v>59</v>
      </c>
      <c r="C88" s="1" t="s">
        <v>1343</v>
      </c>
      <c r="D88" s="1" t="s">
        <v>1344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57.6" x14ac:dyDescent="0.3">
      <c r="A89" s="1" t="s">
        <v>1432</v>
      </c>
      <c r="B89" s="1" t="s">
        <v>54</v>
      </c>
      <c r="C89" s="1" t="s">
        <v>1336</v>
      </c>
      <c r="D89" s="1" t="s">
        <v>1337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57.6" x14ac:dyDescent="0.3">
      <c r="A90" s="1" t="s">
        <v>1432</v>
      </c>
      <c r="B90" s="1" t="s">
        <v>55</v>
      </c>
      <c r="C90" s="1" t="s">
        <v>1336</v>
      </c>
      <c r="D90" s="1" t="s">
        <v>1338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43.2" x14ac:dyDescent="0.3">
      <c r="A91" s="1" t="s">
        <v>1432</v>
      </c>
      <c r="B91" s="1" t="s">
        <v>67</v>
      </c>
      <c r="C91" s="1" t="s">
        <v>1352</v>
      </c>
      <c r="D91" s="1" t="s">
        <v>1354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43.2" x14ac:dyDescent="0.3">
      <c r="A92" s="1" t="s">
        <v>1432</v>
      </c>
      <c r="B92" s="1" t="s">
        <v>66</v>
      </c>
      <c r="C92" s="1" t="s">
        <v>1352</v>
      </c>
      <c r="D92" s="1" t="s">
        <v>1353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8.8" x14ac:dyDescent="0.3">
      <c r="A93" s="1" t="s">
        <v>1432</v>
      </c>
      <c r="B93" s="1" t="s">
        <v>1296</v>
      </c>
      <c r="C93" s="1" t="s">
        <v>1433</v>
      </c>
      <c r="D93" s="1" t="s">
        <v>1434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 t="s">
        <v>1432</v>
      </c>
      <c r="B94" s="1" t="s">
        <v>1297</v>
      </c>
      <c r="C94" s="1" t="s">
        <v>1433</v>
      </c>
      <c r="D94" s="1" t="s">
        <v>1435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 t="s">
        <v>1432</v>
      </c>
      <c r="B95" s="1" t="s">
        <v>1298</v>
      </c>
      <c r="C95" s="1" t="s">
        <v>1433</v>
      </c>
      <c r="D95" s="1" t="s">
        <v>1436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3.2" x14ac:dyDescent="0.3">
      <c r="A96" s="1" t="s">
        <v>1432</v>
      </c>
      <c r="B96" s="1" t="s">
        <v>1299</v>
      </c>
      <c r="C96" s="1" t="s">
        <v>1437</v>
      </c>
      <c r="D96" s="1" t="s">
        <v>1438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57.6" x14ac:dyDescent="0.3">
      <c r="A97" s="1" t="s">
        <v>1432</v>
      </c>
      <c r="B97" s="1" t="s">
        <v>1300</v>
      </c>
      <c r="C97" s="1" t="s">
        <v>1439</v>
      </c>
      <c r="D97" s="1" t="s">
        <v>1440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43.2" x14ac:dyDescent="0.3">
      <c r="A98" s="1" t="s">
        <v>1432</v>
      </c>
      <c r="B98" s="1" t="s">
        <v>1301</v>
      </c>
      <c r="C98" s="1" t="s">
        <v>1439</v>
      </c>
      <c r="D98" s="1" t="s">
        <v>1441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43.2" x14ac:dyDescent="0.3">
      <c r="A99" s="1" t="s">
        <v>1432</v>
      </c>
      <c r="B99" s="1" t="s">
        <v>1302</v>
      </c>
      <c r="C99" s="1" t="s">
        <v>1442</v>
      </c>
      <c r="D99" s="1" t="s">
        <v>1443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8.8" x14ac:dyDescent="0.3">
      <c r="A100" s="1" t="s">
        <v>1432</v>
      </c>
      <c r="B100" s="1" t="s">
        <v>1303</v>
      </c>
      <c r="C100" s="1" t="s">
        <v>1442</v>
      </c>
      <c r="D100" s="1" t="s">
        <v>1444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8.8" x14ac:dyDescent="0.3">
      <c r="A101" s="1" t="s">
        <v>1432</v>
      </c>
      <c r="B101" s="1" t="s">
        <v>1304</v>
      </c>
      <c r="C101" s="1" t="s">
        <v>1442</v>
      </c>
      <c r="D101" s="1" t="s">
        <v>1445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3.2" x14ac:dyDescent="0.3">
      <c r="A102" s="1" t="s">
        <v>1432</v>
      </c>
      <c r="B102" s="1" t="s">
        <v>1305</v>
      </c>
      <c r="C102" s="1" t="s">
        <v>1442</v>
      </c>
      <c r="D102" s="1" t="s">
        <v>1446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8.8" x14ac:dyDescent="0.3">
      <c r="A103" s="1" t="s">
        <v>1432</v>
      </c>
      <c r="B103" s="1" t="s">
        <v>1306</v>
      </c>
      <c r="C103" s="1" t="s">
        <v>1442</v>
      </c>
      <c r="D103" s="1" t="s">
        <v>1447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43.2" x14ac:dyDescent="0.3">
      <c r="A104" s="1" t="s">
        <v>1432</v>
      </c>
      <c r="B104" s="1" t="s">
        <v>1307</v>
      </c>
      <c r="C104" s="1" t="s">
        <v>1442</v>
      </c>
      <c r="D104" s="1" t="s">
        <v>1448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43.2" x14ac:dyDescent="0.3">
      <c r="A105" s="1" t="s">
        <v>1432</v>
      </c>
      <c r="B105" s="1" t="s">
        <v>1308</v>
      </c>
      <c r="C105" s="1" t="s">
        <v>1442</v>
      </c>
      <c r="D105" s="1" t="s">
        <v>1449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8.8" x14ac:dyDescent="0.3">
      <c r="A106" s="1" t="s">
        <v>1432</v>
      </c>
      <c r="B106" s="1" t="s">
        <v>1309</v>
      </c>
      <c r="C106" s="1" t="s">
        <v>1343</v>
      </c>
      <c r="D106" s="1" t="s">
        <v>1450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8.8" x14ac:dyDescent="0.3">
      <c r="A107" s="1" t="s">
        <v>1432</v>
      </c>
      <c r="B107" s="1" t="s">
        <v>1310</v>
      </c>
      <c r="C107" s="1" t="s">
        <v>1343</v>
      </c>
      <c r="D107" s="1" t="s">
        <v>1451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8.8" x14ac:dyDescent="0.3">
      <c r="A108" s="1" t="s">
        <v>1432</v>
      </c>
      <c r="B108" s="1" t="s">
        <v>1311</v>
      </c>
      <c r="C108" s="1" t="s">
        <v>1343</v>
      </c>
      <c r="D108" s="1" t="s">
        <v>1452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72" x14ac:dyDescent="0.3">
      <c r="A109" s="1" t="s">
        <v>1432</v>
      </c>
      <c r="B109" s="1" t="s">
        <v>71</v>
      </c>
      <c r="C109" s="1" t="s">
        <v>1358</v>
      </c>
      <c r="D109" s="1" t="s">
        <v>1359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8.8" x14ac:dyDescent="0.3">
      <c r="A110" s="1" t="s">
        <v>1453</v>
      </c>
      <c r="B110" s="1" t="s">
        <v>1454</v>
      </c>
      <c r="C110" s="1" t="s">
        <v>1329</v>
      </c>
      <c r="D110" s="1" t="s">
        <v>1455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8.8" x14ac:dyDescent="0.3">
      <c r="A111" s="1" t="s">
        <v>1453</v>
      </c>
      <c r="B111" s="1" t="s">
        <v>1456</v>
      </c>
      <c r="C111" s="1" t="s">
        <v>1329</v>
      </c>
      <c r="D111" s="1" t="s">
        <v>1457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57.6" x14ac:dyDescent="0.3">
      <c r="A112" s="1" t="s">
        <v>1458</v>
      </c>
      <c r="B112" s="1" t="s">
        <v>1459</v>
      </c>
      <c r="C112" s="1" t="s">
        <v>1460</v>
      </c>
      <c r="D112" s="1" t="s">
        <v>1461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57.6" x14ac:dyDescent="0.3">
      <c r="A113" s="1" t="s">
        <v>1458</v>
      </c>
      <c r="B113" s="1" t="s">
        <v>1462</v>
      </c>
      <c r="C113" s="1" t="s">
        <v>1463</v>
      </c>
      <c r="D113" s="1" t="s">
        <v>1464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57.6" x14ac:dyDescent="0.3">
      <c r="A114" s="1" t="s">
        <v>1458</v>
      </c>
      <c r="B114" s="1" t="s">
        <v>1465</v>
      </c>
      <c r="C114" s="1" t="s">
        <v>1466</v>
      </c>
      <c r="D114" s="1" t="s">
        <v>1467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.4" x14ac:dyDescent="0.3"/>
  <cols>
    <col min="1" max="2" width="34" customWidth="1"/>
  </cols>
  <sheetData>
    <row r="1" spans="1:26" x14ac:dyDescent="0.3">
      <c r="A1" s="10" t="s">
        <v>1454</v>
      </c>
      <c r="B1" s="10" t="s">
        <v>1456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x14ac:dyDescent="0.3">
      <c r="A2" s="1" t="s">
        <v>1468</v>
      </c>
      <c r="B2" s="1" t="s">
        <v>1469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8" x14ac:dyDescent="0.3">
      <c r="A3" s="1" t="s">
        <v>1470</v>
      </c>
      <c r="B3" s="1" t="s">
        <v>1471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2" x14ac:dyDescent="0.3">
      <c r="A4" s="1" t="s">
        <v>1472</v>
      </c>
      <c r="B4" s="1" t="s">
        <v>1473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3.2" x14ac:dyDescent="0.3">
      <c r="A5" s="1" t="s">
        <v>1474</v>
      </c>
      <c r="B5" s="1" t="s">
        <v>1475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8" x14ac:dyDescent="0.3">
      <c r="A6" s="1" t="s">
        <v>1476</v>
      </c>
      <c r="B6" s="1" t="s">
        <v>1477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.6" x14ac:dyDescent="0.3">
      <c r="A7" s="1" t="s">
        <v>1478</v>
      </c>
      <c r="B7" s="1" t="s">
        <v>1479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7.6" x14ac:dyDescent="0.3">
      <c r="A8" s="1" t="s">
        <v>1480</v>
      </c>
      <c r="B8" s="1" t="s">
        <v>1481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8" x14ac:dyDescent="0.3">
      <c r="A9" s="1" t="s">
        <v>1482</v>
      </c>
      <c r="B9" s="1" t="s">
        <v>1483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7.6" x14ac:dyDescent="0.3">
      <c r="A10" s="1" t="s">
        <v>1484</v>
      </c>
      <c r="B10" s="1" t="s">
        <v>1485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3.2" x14ac:dyDescent="0.3">
      <c r="A11" s="1" t="s">
        <v>1486</v>
      </c>
      <c r="B11" s="1" t="s">
        <v>1487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4" x14ac:dyDescent="0.3"/>
  <cols>
    <col min="1" max="2" width="34" customWidth="1"/>
  </cols>
  <sheetData>
    <row r="1" spans="1:2" x14ac:dyDescent="0.3">
      <c r="A1" s="10" t="s">
        <v>1488</v>
      </c>
      <c r="B1" s="10" t="s">
        <v>1327</v>
      </c>
    </row>
    <row r="2" spans="1:2" ht="72" x14ac:dyDescent="0.3">
      <c r="A2" s="1" t="s">
        <v>34</v>
      </c>
      <c r="B2" s="1" t="s">
        <v>1489</v>
      </c>
    </row>
    <row r="3" spans="1:2" ht="72" x14ac:dyDescent="0.3">
      <c r="A3" s="1" t="s">
        <v>1490</v>
      </c>
      <c r="B3" s="1" t="s">
        <v>1491</v>
      </c>
    </row>
    <row r="4" spans="1:2" ht="57.6" x14ac:dyDescent="0.3">
      <c r="A4" s="1" t="s">
        <v>1492</v>
      </c>
      <c r="B4" s="1" t="s">
        <v>1493</v>
      </c>
    </row>
    <row r="5" spans="1:2" ht="57.6" x14ac:dyDescent="0.3">
      <c r="A5" s="1" t="s">
        <v>1494</v>
      </c>
      <c r="B5" s="1" t="s">
        <v>1495</v>
      </c>
    </row>
    <row r="6" spans="1:2" ht="57.6" x14ac:dyDescent="0.3">
      <c r="A6" s="1" t="s">
        <v>1496</v>
      </c>
      <c r="B6" s="1" t="s">
        <v>1497</v>
      </c>
    </row>
    <row r="7" spans="1:2" ht="57.6" x14ac:dyDescent="0.3">
      <c r="A7" s="1" t="s">
        <v>1498</v>
      </c>
      <c r="B7" s="1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Dataset_Info</vt:lpstr>
      <vt:lpstr>Dashboard</vt:lpstr>
      <vt:lpstr>Wells_Nodes</vt:lpstr>
      <vt:lpstr>Hydrochemistry_Seasonal</vt:lpstr>
      <vt:lpstr>Climate_Aridification</vt:lpstr>
      <vt:lpstr>Graph_Edges</vt:lpstr>
      <vt:lpstr>Model_Feature_Matrix</vt:lpstr>
      <vt:lpstr>Data_Dictionary</vt:lpstr>
      <vt:lpstr>Quality_Control</vt:lpstr>
      <vt:lpstr>Coordinate_Masking_Note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Abdul-Wahab</dc:creator>
  <cp:lastModifiedBy>Dickson Abdul-Wahab</cp:lastModifiedBy>
  <dcterms:modified xsi:type="dcterms:W3CDTF">2026-05-06T18:58:13Z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2026-05-06T18:58:13Z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f5eefcdb-1752-47f9-8fe8-71fa465f7979</vt:lpwstr>
  </property>
  <property fmtid="{D5CDD505-2E9C-101B-9397-08002B2CF9AE}" pid="7" name="MSIP_Label_defa4170-0d19-0005-0004-bc88714345d2_ActionId">
    <vt:lpwstr>aa4bbed6-42db-4240-86b8-e5d8b196d4e6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